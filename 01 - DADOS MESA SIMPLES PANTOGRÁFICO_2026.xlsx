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dgedgrande.sharepoint.com/sites/comercial/Arquivos/004 ÁREA TÉCNICA/02 - SIMULAÇÕES/2026/"/>
    </mc:Choice>
  </mc:AlternateContent>
  <xr:revisionPtr revIDLastSave="3211" documentId="14_{F2EB2359-6324-4862-BF47-5B5D76BDE38D}" xr6:coauthVersionLast="47" xr6:coauthVersionMax="47" xr10:uidLastSave="{34F8FCA9-BCA2-4B72-9D44-483DFB5E0866}"/>
  <bookViews>
    <workbookView xWindow="-120" yWindow="-120" windowWidth="20730" windowHeight="11040" tabRatio="830" xr2:uid="{00000000-000D-0000-FFFF-FFFF00000000}"/>
  </bookViews>
  <sheets>
    <sheet name="419-26 ROMAGNOLE" sheetId="867" r:id="rId1"/>
    <sheet name="357-26 ARCELOR" sheetId="866" r:id="rId2"/>
    <sheet name="438-26 ARCELOR MITAL" sheetId="865" r:id="rId3"/>
    <sheet name="423-26 - BRÁS METAL" sheetId="864" r:id="rId4"/>
    <sheet name="384-26 - DAIDO " sheetId="863" r:id="rId5"/>
    <sheet name="395-26 ACTIVE" sheetId="862" r:id="rId6"/>
    <sheet name="417-26 - CASSIOLI" sheetId="861" r:id="rId7"/>
    <sheet name="408-26 ERZINGER" sheetId="860" r:id="rId8"/>
    <sheet name="411-26 ARCELOR MITTAL" sheetId="859" r:id="rId9"/>
    <sheet name="403-26 JACTO" sheetId="858" r:id="rId10"/>
    <sheet name="372-26 SCHULZ" sheetId="857" r:id="rId11"/>
    <sheet name="086-26 JACTO REV3" sheetId="856" r:id="rId12"/>
    <sheet name="086-26 JACTO REV2" sheetId="855" r:id="rId13"/>
    <sheet name="362-26 FRANKLIN" sheetId="854" r:id="rId14"/>
    <sheet name="331-26 ITAIPU" sheetId="853" r:id="rId15"/>
    <sheet name="332-26 ASA HIDRAULYC" sheetId="852" r:id="rId16"/>
    <sheet name="342-26 ARCELOR MITTAL" sheetId="851" r:id="rId17"/>
    <sheet name="275-26 CEZARINO" sheetId="850" r:id="rId18"/>
    <sheet name="324-26 TERMOMECANICA" sheetId="849" r:id="rId19"/>
    <sheet name="117-25 - HAVER 1 TON" sheetId="848" r:id="rId20"/>
    <sheet name="117-25 - HAVER 3 TON" sheetId="846" r:id="rId21"/>
    <sheet name="323-26 NETZSCH 1500kg" sheetId="845" r:id="rId22"/>
    <sheet name="322-26 NETZSCH 800KG" sheetId="844" r:id="rId23"/>
    <sheet name="225-26 AD ART ARTEFATOS" sheetId="843" r:id="rId24"/>
    <sheet name="219-26 STELBEN" sheetId="842" r:id="rId25"/>
    <sheet name="153-26 DAIDO" sheetId="841" r:id="rId26"/>
    <sheet name="296-26 EVAPCO" sheetId="840" r:id="rId27"/>
    <sheet name="082-25 JACTO" sheetId="839" r:id="rId28"/>
    <sheet name="282-26 DOVER" sheetId="838" r:id="rId29"/>
    <sheet name="238-26 WEG BLUMENAU" sheetId="837" r:id="rId30"/>
    <sheet name="300-26 ALFA LAVAL" sheetId="836" r:id="rId31"/>
    <sheet name="272-26 ABB" sheetId="835" r:id="rId32"/>
    <sheet name="237-26 WEIR" sheetId="834" r:id="rId33"/>
    <sheet name="256-26 TUNKERS" sheetId="833" r:id="rId34"/>
    <sheet name="253-26 RICCÓ" sheetId="832" r:id="rId35"/>
    <sheet name="222-26 LITORAL PERFIS" sheetId="831" r:id="rId36"/>
    <sheet name="220-26 HITACHI ENERGY (M2)" sheetId="830" r:id="rId37"/>
    <sheet name="220-26 HITACHI ENERGY (M1)" sheetId="829" r:id="rId38"/>
    <sheet name="201-26 AL PUXADORES" sheetId="828" r:id="rId39"/>
    <sheet name="205-26 EBARA BOMBAS" sheetId="827" r:id="rId40"/>
    <sheet name="199-26 GEA" sheetId="826" r:id="rId41"/>
    <sheet name="198-26 MARCHETTI" sheetId="825" r:id="rId42"/>
    <sheet name="197-26 ODYCELL" sheetId="824" r:id="rId43"/>
    <sheet name="209-25 TOLEDO" sheetId="823" r:id="rId44"/>
    <sheet name="188-26 TSEA ENERGY" sheetId="822" r:id="rId45"/>
    <sheet name="169-26 YURI COGUMELOS" sheetId="821" r:id="rId46"/>
    <sheet name="167-26 ANDINO" sheetId="820" r:id="rId47"/>
    <sheet name="168-26 OFFHORE" sheetId="819" r:id="rId48"/>
    <sheet name="202-26 HYGIELINE" sheetId="818" r:id="rId49"/>
    <sheet name="182-26 TEADIT" sheetId="816" r:id="rId50"/>
    <sheet name="180-26 DATA ENGENHARIA" sheetId="815" r:id="rId51"/>
    <sheet name="172-26 GREENBRIER MAXION" sheetId="814" r:id="rId52"/>
    <sheet name="174-26 JAKES FACHINETTE" sheetId="813" r:id="rId53"/>
    <sheet name="189-26 PRINTSTORE" sheetId="812" r:id="rId54"/>
    <sheet name="177-26 NISSAN" sheetId="811" r:id="rId55"/>
    <sheet name="176-26 DURR" sheetId="810" r:id="rId56"/>
    <sheet name="193-26 KME" sheetId="809" r:id="rId57"/>
    <sheet name="158-26 HONDA" sheetId="808" r:id="rId58"/>
    <sheet name="109-26 DURR" sheetId="796" r:id="rId59"/>
    <sheet name="139-26 NETZSCH" sheetId="807" r:id="rId60"/>
    <sheet name="145-26 CECIL" sheetId="806" r:id="rId61"/>
    <sheet name="144-26 MOLAS MARCHETTI" sheetId="805" r:id="rId62"/>
    <sheet name="141-26 XCMG" sheetId="804" r:id="rId63"/>
    <sheet name="123-26 ZIKELI" sheetId="803" r:id="rId64"/>
    <sheet name="142-26 SEE SISTEMAS" sheetId="802" r:id="rId65"/>
    <sheet name="133-26 CSM" sheetId="801" r:id="rId66"/>
    <sheet name="130-26 COLOMBOTEC" sheetId="800" r:id="rId67"/>
    <sheet name="098-26 INCOFLANDERS" sheetId="799" r:id="rId68"/>
    <sheet name="112-26 AÇO CEARENSE" sheetId="798" r:id="rId69"/>
    <sheet name="110-26 SAI-BR" sheetId="797" r:id="rId70"/>
    <sheet name="462-25 CONVOY" sheetId="795" r:id="rId71"/>
    <sheet name="083-26 HAVER" sheetId="794" r:id="rId72"/>
    <sheet name="089-26 SUMARÉ 3D" sheetId="793" r:id="rId73"/>
    <sheet name="090-26 NETZSCH 5T" sheetId="792" r:id="rId74"/>
    <sheet name="090-26 NETZSCH 3T" sheetId="791" r:id="rId75"/>
    <sheet name="085-26 CASSIOLI" sheetId="790" r:id="rId76"/>
    <sheet name="077-26 IDEAL TRANSPORTES" sheetId="789" r:id="rId77"/>
    <sheet name="071-26 IDV" sheetId="788" r:id="rId78"/>
    <sheet name="064-26 FALCARE" sheetId="787" r:id="rId79"/>
    <sheet name="061-26 COFERPA" sheetId="786" r:id="rId80"/>
    <sheet name="005-26 GRUPO BUENO" sheetId="776" r:id="rId81"/>
    <sheet name="499-25 PETROBRÁS" sheetId="777" r:id="rId82"/>
    <sheet name="003-26 MOHAWK" sheetId="778" r:id="rId83"/>
    <sheet name="028-26 SCM" sheetId="779" r:id="rId84"/>
    <sheet name="029-26 MAQUIMASA" sheetId="780" r:id="rId85"/>
    <sheet name="030-26 BRETON" sheetId="781" r:id="rId86"/>
    <sheet name="042-26 SEE" sheetId="782" r:id="rId87"/>
    <sheet name="044-26 GUIMEPA" sheetId="783" r:id="rId88"/>
    <sheet name="055-26 AMSTEDMAXION" sheetId="784" r:id="rId89"/>
    <sheet name="056-26 COMEXPORT" sheetId="785" r:id="rId90"/>
  </sheets>
  <definedNames>
    <definedName name="_xlnm.Print_Area" localSheetId="63">'123-26 ZIKELI'!$A$1:$G$45</definedName>
    <definedName name="_xlnm.Print_Area" localSheetId="65">'133-26 CSM'!$A$1:$G$45</definedName>
    <definedName name="_xlnm.Print_Area" localSheetId="59">'139-26 NETZSCH'!$A$1:$G$45</definedName>
    <definedName name="_xlnm.Print_Area" localSheetId="62">'141-26 XCMG'!$A$1:$G$45</definedName>
    <definedName name="_xlnm.Print_Area" localSheetId="64">'142-26 SEE SISTEMAS'!$A$1:$G$45</definedName>
    <definedName name="_xlnm.Print_Area" localSheetId="61">'144-26 MOLAS MARCHETTI'!$A$1:$G$45</definedName>
    <definedName name="_xlnm.Print_Area" localSheetId="60">'145-26 CECIL'!$A$1:$G$45</definedName>
    <definedName name="_xlnm.Print_Area" localSheetId="1">'357-26 ARCELOR'!$A$1:$G$37</definedName>
    <definedName name="_xlnm.Print_Area" localSheetId="4">'384-26 - DAIDO '!$A$1:$G$37</definedName>
    <definedName name="_xlnm.Print_Area" localSheetId="5">'395-26 ACTIVE'!$A$1:$G$37</definedName>
    <definedName name="_xlnm.Print_Area" localSheetId="6">'417-26 - CASSIOLI'!$A$1:$G$37</definedName>
    <definedName name="_xlnm.Print_Area" localSheetId="0">'419-26 ROMAGNOLE'!$A$1:$G$37</definedName>
    <definedName name="_xlnm.Print_Area" localSheetId="3">'423-26 - BRÁS METAL'!$A$1:$G$37</definedName>
    <definedName name="_xlnm.Print_Area" localSheetId="2">'438-26 ARCELOR MITAL'!$A$1:$G$37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6" i="867" l="1"/>
  <c r="H33" i="867"/>
  <c r="B29" i="867"/>
  <c r="B23" i="867"/>
  <c r="E29" i="867" s="1"/>
  <c r="E21" i="867"/>
  <c r="F16" i="867"/>
  <c r="B13" i="867"/>
  <c r="B15" i="867" s="1"/>
  <c r="B25" i="867" s="1"/>
  <c r="E36" i="866"/>
  <c r="H33" i="866"/>
  <c r="B29" i="866"/>
  <c r="B23" i="866"/>
  <c r="E27" i="866" s="1"/>
  <c r="E21" i="866"/>
  <c r="F16" i="866"/>
  <c r="B13" i="866"/>
  <c r="B27" i="866" s="1"/>
  <c r="B33" i="866" s="1"/>
  <c r="E36" i="865"/>
  <c r="H33" i="865"/>
  <c r="B29" i="865"/>
  <c r="B23" i="865"/>
  <c r="E29" i="865" s="1"/>
  <c r="E21" i="865"/>
  <c r="F16" i="865"/>
  <c r="B13" i="865"/>
  <c r="B15" i="865" s="1"/>
  <c r="B25" i="865" s="1"/>
  <c r="E36" i="864"/>
  <c r="H33" i="864"/>
  <c r="B29" i="864"/>
  <c r="B23" i="864"/>
  <c r="E29" i="864" s="1"/>
  <c r="E21" i="864"/>
  <c r="F16" i="864"/>
  <c r="B13" i="864"/>
  <c r="B27" i="864" s="1"/>
  <c r="B33" i="864" s="1"/>
  <c r="E36" i="863"/>
  <c r="H33" i="863"/>
  <c r="B29" i="863"/>
  <c r="B23" i="863"/>
  <c r="E27" i="863" s="1"/>
  <c r="E21" i="863"/>
  <c r="F16" i="863"/>
  <c r="B13" i="863"/>
  <c r="B15" i="863" s="1"/>
  <c r="B25" i="863" s="1"/>
  <c r="F17" i="862"/>
  <c r="F16" i="862"/>
  <c r="E36" i="862"/>
  <c r="H33" i="862"/>
  <c r="B29" i="862"/>
  <c r="B23" i="862"/>
  <c r="E29" i="862" s="1"/>
  <c r="E21" i="862"/>
  <c r="B13" i="862"/>
  <c r="B15" i="862" s="1"/>
  <c r="B25" i="862" s="1"/>
  <c r="E36" i="861"/>
  <c r="H33" i="861"/>
  <c r="B29" i="861"/>
  <c r="B27" i="861"/>
  <c r="B33" i="861" s="1"/>
  <c r="B23" i="861"/>
  <c r="E29" i="861" s="1"/>
  <c r="E21" i="861"/>
  <c r="F17" i="861"/>
  <c r="F16" i="861" s="1"/>
  <c r="B13" i="861"/>
  <c r="B15" i="861" s="1"/>
  <c r="B25" i="861" s="1"/>
  <c r="E36" i="860"/>
  <c r="B29" i="860"/>
  <c r="B23" i="860"/>
  <c r="E27" i="860" s="1"/>
  <c r="E21" i="860"/>
  <c r="F16" i="860"/>
  <c r="B13" i="860"/>
  <c r="B27" i="860" s="1"/>
  <c r="B33" i="860" s="1"/>
  <c r="F16" i="859"/>
  <c r="E36" i="859"/>
  <c r="B29" i="859"/>
  <c r="B23" i="859"/>
  <c r="E27" i="859" s="1"/>
  <c r="E21" i="859"/>
  <c r="B13" i="859"/>
  <c r="B27" i="859" s="1"/>
  <c r="B33" i="859" s="1"/>
  <c r="E36" i="858"/>
  <c r="B29" i="858"/>
  <c r="B23" i="858"/>
  <c r="E27" i="858" s="1"/>
  <c r="E21" i="858"/>
  <c r="F16" i="858"/>
  <c r="B15" i="858"/>
  <c r="B25" i="858" s="1"/>
  <c r="B13" i="858"/>
  <c r="B27" i="858" s="1"/>
  <c r="B33" i="858" s="1"/>
  <c r="F17" i="857"/>
  <c r="F16" i="857" s="1"/>
  <c r="E36" i="857"/>
  <c r="B29" i="857"/>
  <c r="B23" i="857"/>
  <c r="E27" i="857" s="1"/>
  <c r="E21" i="857"/>
  <c r="B13" i="857"/>
  <c r="B27" i="857" s="1"/>
  <c r="B33" i="857" s="1"/>
  <c r="E36" i="856"/>
  <c r="B29" i="856"/>
  <c r="B23" i="856"/>
  <c r="E27" i="856" s="1"/>
  <c r="E21" i="856"/>
  <c r="F16" i="856"/>
  <c r="B13" i="856"/>
  <c r="B27" i="856" s="1"/>
  <c r="B33" i="856" s="1"/>
  <c r="B27" i="867" l="1"/>
  <c r="B33" i="867" s="1"/>
  <c r="B35" i="867" s="1"/>
  <c r="E27" i="867"/>
  <c r="B35" i="866"/>
  <c r="B15" i="866"/>
  <c r="B25" i="866" s="1"/>
  <c r="E29" i="866"/>
  <c r="B27" i="865"/>
  <c r="B33" i="865" s="1"/>
  <c r="B35" i="865" s="1"/>
  <c r="E27" i="865"/>
  <c r="B35" i="864"/>
  <c r="B15" i="864"/>
  <c r="B25" i="864" s="1"/>
  <c r="E27" i="864"/>
  <c r="E29" i="863"/>
  <c r="B27" i="863"/>
  <c r="B33" i="863" s="1"/>
  <c r="B35" i="863" s="1"/>
  <c r="B27" i="862"/>
  <c r="B33" i="862" s="1"/>
  <c r="B35" i="862" s="1"/>
  <c r="E27" i="862"/>
  <c r="B35" i="861"/>
  <c r="E27" i="861"/>
  <c r="E29" i="860"/>
  <c r="B35" i="860"/>
  <c r="B15" i="860"/>
  <c r="B25" i="860" s="1"/>
  <c r="B35" i="859"/>
  <c r="B15" i="859"/>
  <c r="B25" i="859" s="1"/>
  <c r="E29" i="859"/>
  <c r="B35" i="858"/>
  <c r="E29" i="858"/>
  <c r="E29" i="857"/>
  <c r="B15" i="857"/>
  <c r="B25" i="857" s="1"/>
  <c r="B35" i="857"/>
  <c r="B35" i="856"/>
  <c r="B15" i="856"/>
  <c r="B25" i="856" s="1"/>
  <c r="E29" i="856"/>
  <c r="E36" i="855"/>
  <c r="B29" i="855"/>
  <c r="B23" i="855"/>
  <c r="E29" i="855" s="1"/>
  <c r="E21" i="855"/>
  <c r="F16" i="855"/>
  <c r="B13" i="855"/>
  <c r="B15" i="855" s="1"/>
  <c r="B25" i="855" s="1"/>
  <c r="B27" i="855" l="1"/>
  <c r="B33" i="855" s="1"/>
  <c r="B35" i="855" s="1"/>
  <c r="E27" i="855"/>
  <c r="E36" i="854"/>
  <c r="B29" i="854"/>
  <c r="B23" i="854"/>
  <c r="E27" i="854" s="1"/>
  <c r="E21" i="854"/>
  <c r="F16" i="854"/>
  <c r="B13" i="854"/>
  <c r="B27" i="854" s="1"/>
  <c r="B33" i="854" s="1"/>
  <c r="B15" i="854" l="1"/>
  <c r="B25" i="854" s="1"/>
  <c r="B35" i="854"/>
  <c r="E29" i="854"/>
  <c r="E36" i="853"/>
  <c r="B29" i="853"/>
  <c r="B23" i="853"/>
  <c r="E29" i="853" s="1"/>
  <c r="E21" i="853"/>
  <c r="F16" i="853"/>
  <c r="B13" i="853"/>
  <c r="B15" i="853" s="1"/>
  <c r="B25" i="853" s="1"/>
  <c r="B27" i="853" l="1"/>
  <c r="B33" i="853" s="1"/>
  <c r="B35" i="853" s="1"/>
  <c r="E27" i="853"/>
  <c r="E36" i="852"/>
  <c r="B29" i="852"/>
  <c r="B23" i="852"/>
  <c r="E29" i="852" s="1"/>
  <c r="E21" i="852"/>
  <c r="F16" i="852"/>
  <c r="B13" i="852"/>
  <c r="B15" i="852" s="1"/>
  <c r="B25" i="852" s="1"/>
  <c r="B27" i="852" l="1"/>
  <c r="B33" i="852" s="1"/>
  <c r="B35" i="852" s="1"/>
  <c r="E27" i="852"/>
  <c r="E36" i="851"/>
  <c r="B29" i="851" l="1"/>
  <c r="B23" i="851"/>
  <c r="E29" i="851" s="1"/>
  <c r="E21" i="851"/>
  <c r="F16" i="851"/>
  <c r="B13" i="851"/>
  <c r="B27" i="851" s="1"/>
  <c r="B33" i="851" s="1"/>
  <c r="B35" i="851" l="1"/>
  <c r="B15" i="851"/>
  <c r="B25" i="851" s="1"/>
  <c r="E27" i="851"/>
  <c r="E36" i="850"/>
  <c r="B29" i="850"/>
  <c r="B23" i="850"/>
  <c r="E27" i="850" s="1"/>
  <c r="E21" i="850"/>
  <c r="F16" i="850"/>
  <c r="B13" i="850"/>
  <c r="B15" i="850" s="1"/>
  <c r="B25" i="850" s="1"/>
  <c r="B27" i="850" l="1"/>
  <c r="B33" i="850" s="1"/>
  <c r="B35" i="850" s="1"/>
  <c r="E29" i="850"/>
  <c r="E36" i="849"/>
  <c r="B29" i="849"/>
  <c r="B23" i="849"/>
  <c r="E29" i="849" s="1"/>
  <c r="E21" i="849"/>
  <c r="F16" i="849"/>
  <c r="B13" i="849"/>
  <c r="B15" i="849" s="1"/>
  <c r="B25" i="849" s="1"/>
  <c r="B27" i="849" l="1"/>
  <c r="B33" i="849" s="1"/>
  <c r="B35" i="849" s="1"/>
  <c r="E27" i="849"/>
  <c r="E36" i="848"/>
  <c r="B29" i="848"/>
  <c r="B23" i="848"/>
  <c r="E29" i="848" s="1"/>
  <c r="E21" i="848"/>
  <c r="F16" i="848"/>
  <c r="B13" i="848"/>
  <c r="B15" i="848" s="1"/>
  <c r="B25" i="848" s="1"/>
  <c r="E36" i="846"/>
  <c r="B29" i="846"/>
  <c r="B23" i="846"/>
  <c r="E27" i="846" s="1"/>
  <c r="E21" i="846"/>
  <c r="F16" i="846"/>
  <c r="B13" i="846"/>
  <c r="B15" i="846" s="1"/>
  <c r="B25" i="846" s="1"/>
  <c r="B27" i="848" l="1"/>
  <c r="B33" i="848" s="1"/>
  <c r="B35" i="848" s="1"/>
  <c r="E27" i="848"/>
  <c r="E29" i="846"/>
  <c r="B27" i="846"/>
  <c r="B33" i="846" s="1"/>
  <c r="B35" i="846" s="1"/>
  <c r="E36" i="845"/>
  <c r="B29" i="845"/>
  <c r="B23" i="845"/>
  <c r="E29" i="845" s="1"/>
  <c r="E21" i="845"/>
  <c r="F16" i="845"/>
  <c r="B13" i="845"/>
  <c r="B15" i="845" s="1"/>
  <c r="B25" i="845" s="1"/>
  <c r="B27" i="845" l="1"/>
  <c r="B33" i="845" s="1"/>
  <c r="B35" i="845" s="1"/>
  <c r="E27" i="845"/>
  <c r="F17" i="844"/>
  <c r="F16" i="844" s="1"/>
  <c r="E36" i="844"/>
  <c r="B29" i="844"/>
  <c r="B23" i="844"/>
  <c r="E29" i="844" s="1"/>
  <c r="E21" i="844"/>
  <c r="B13" i="844"/>
  <c r="B15" i="844" s="1"/>
  <c r="B25" i="844" s="1"/>
  <c r="B27" i="844" l="1"/>
  <c r="B33" i="844" s="1"/>
  <c r="B35" i="844" s="1"/>
  <c r="E27" i="844"/>
  <c r="E36" i="843"/>
  <c r="B29" i="843"/>
  <c r="B23" i="843"/>
  <c r="E29" i="843" s="1"/>
  <c r="E21" i="843"/>
  <c r="F16" i="843"/>
  <c r="B13" i="843"/>
  <c r="B15" i="843" s="1"/>
  <c r="B25" i="843" s="1"/>
  <c r="B27" i="843" l="1"/>
  <c r="B33" i="843" s="1"/>
  <c r="B35" i="843" s="1"/>
  <c r="E27" i="843"/>
  <c r="E36" i="842"/>
  <c r="B29" i="842"/>
  <c r="B23" i="842"/>
  <c r="E27" i="842" s="1"/>
  <c r="E21" i="842"/>
  <c r="F16" i="842"/>
  <c r="B13" i="842"/>
  <c r="B15" i="842" s="1"/>
  <c r="B25" i="842" s="1"/>
  <c r="B27" i="842" l="1"/>
  <c r="B33" i="842" s="1"/>
  <c r="B35" i="842" s="1"/>
  <c r="E29" i="842"/>
  <c r="E36" i="841"/>
  <c r="B29" i="841"/>
  <c r="B23" i="841"/>
  <c r="E29" i="841" s="1"/>
  <c r="E21" i="841"/>
  <c r="F16" i="841"/>
  <c r="B13" i="841"/>
  <c r="B15" i="841" s="1"/>
  <c r="B25" i="841" s="1"/>
  <c r="B27" i="841" l="1"/>
  <c r="B33" i="841" s="1"/>
  <c r="B35" i="841" s="1"/>
  <c r="E27" i="841"/>
  <c r="E36" i="840"/>
  <c r="B29" i="840"/>
  <c r="B23" i="840"/>
  <c r="E29" i="840" s="1"/>
  <c r="E21" i="840"/>
  <c r="F16" i="840"/>
  <c r="B13" i="840"/>
  <c r="B15" i="840" s="1"/>
  <c r="B25" i="840" s="1"/>
  <c r="B27" i="840" l="1"/>
  <c r="B33" i="840" s="1"/>
  <c r="B35" i="840" s="1"/>
  <c r="E27" i="840"/>
  <c r="E36" i="839"/>
  <c r="B29" i="839"/>
  <c r="B23" i="839"/>
  <c r="E29" i="839" s="1"/>
  <c r="E21" i="839"/>
  <c r="F16" i="839"/>
  <c r="B13" i="839"/>
  <c r="B15" i="839" s="1"/>
  <c r="B25" i="839" s="1"/>
  <c r="E27" i="839" l="1"/>
  <c r="B27" i="839"/>
  <c r="B33" i="839" s="1"/>
  <c r="B35" i="839" s="1"/>
  <c r="E36" i="838"/>
  <c r="B29" i="838"/>
  <c r="B23" i="838"/>
  <c r="E29" i="838" s="1"/>
  <c r="E21" i="838"/>
  <c r="F16" i="838"/>
  <c r="B13" i="838"/>
  <c r="B15" i="838" s="1"/>
  <c r="B25" i="838" s="1"/>
  <c r="B27" i="838" l="1"/>
  <c r="B33" i="838" s="1"/>
  <c r="B35" i="838" s="1"/>
  <c r="E27" i="838"/>
  <c r="E36" i="837"/>
  <c r="B29" i="837"/>
  <c r="B23" i="837"/>
  <c r="E27" i="837" s="1"/>
  <c r="E21" i="837"/>
  <c r="F16" i="837"/>
  <c r="B13" i="837"/>
  <c r="B27" i="837" s="1"/>
  <c r="B33" i="837" s="1"/>
  <c r="B35" i="837" l="1"/>
  <c r="B15" i="837"/>
  <c r="B25" i="837" s="1"/>
  <c r="E29" i="837"/>
  <c r="E36" i="836"/>
  <c r="B29" i="836"/>
  <c r="B23" i="836"/>
  <c r="E29" i="836" s="1"/>
  <c r="E21" i="836"/>
  <c r="F16" i="836"/>
  <c r="B13" i="836"/>
  <c r="B15" i="836" s="1"/>
  <c r="B25" i="836" s="1"/>
  <c r="E27" i="836" l="1"/>
  <c r="B27" i="836"/>
  <c r="B33" i="836" s="1"/>
  <c r="B35" i="836" s="1"/>
  <c r="E36" i="835"/>
  <c r="B29" i="835"/>
  <c r="B23" i="835"/>
  <c r="E29" i="835" s="1"/>
  <c r="E21" i="835"/>
  <c r="F16" i="835"/>
  <c r="B13" i="835"/>
  <c r="B15" i="835" s="1"/>
  <c r="B25" i="835" s="1"/>
  <c r="B27" i="835" l="1"/>
  <c r="B33" i="835" s="1"/>
  <c r="B35" i="835" s="1"/>
  <c r="E27" i="835"/>
  <c r="E36" i="834"/>
  <c r="B29" i="834"/>
  <c r="B23" i="834"/>
  <c r="E29" i="834" s="1"/>
  <c r="E21" i="834"/>
  <c r="F16" i="834"/>
  <c r="B13" i="834"/>
  <c r="B15" i="834" s="1"/>
  <c r="B25" i="834" s="1"/>
  <c r="B27" i="834" l="1"/>
  <c r="B33" i="834" s="1"/>
  <c r="B35" i="834" s="1"/>
  <c r="E27" i="834"/>
  <c r="E36" i="833"/>
  <c r="B29" i="833"/>
  <c r="B23" i="833"/>
  <c r="E29" i="833" s="1"/>
  <c r="E21" i="833"/>
  <c r="F16" i="833"/>
  <c r="B13" i="833"/>
  <c r="B27" i="833" s="1"/>
  <c r="B33" i="833" s="1"/>
  <c r="E27" i="833" l="1"/>
  <c r="B35" i="833"/>
  <c r="B15" i="833"/>
  <c r="B25" i="833" s="1"/>
  <c r="E36" i="832"/>
  <c r="B29" i="832"/>
  <c r="B23" i="832"/>
  <c r="E27" i="832" s="1"/>
  <c r="E21" i="832"/>
  <c r="F16" i="832"/>
  <c r="B13" i="832"/>
  <c r="B27" i="832" s="1"/>
  <c r="B33" i="832" s="1"/>
  <c r="B35" i="832" l="1"/>
  <c r="B15" i="832"/>
  <c r="B25" i="832" s="1"/>
  <c r="E29" i="832"/>
  <c r="E36" i="831"/>
  <c r="B29" i="831"/>
  <c r="B23" i="831"/>
  <c r="E27" i="831" s="1"/>
  <c r="E21" i="831"/>
  <c r="F16" i="831"/>
  <c r="B13" i="831"/>
  <c r="B15" i="831" s="1"/>
  <c r="B25" i="831" s="1"/>
  <c r="E29" i="831" l="1"/>
  <c r="B27" i="831"/>
  <c r="B33" i="831" s="1"/>
  <c r="B35" i="831" s="1"/>
  <c r="E36" i="830"/>
  <c r="B29" i="830"/>
  <c r="B23" i="830"/>
  <c r="E27" i="830" s="1"/>
  <c r="E21" i="830"/>
  <c r="F16" i="830"/>
  <c r="B13" i="830"/>
  <c r="B15" i="830" s="1"/>
  <c r="B25" i="830" s="1"/>
  <c r="B27" i="830" l="1"/>
  <c r="B33" i="830" s="1"/>
  <c r="B35" i="830" s="1"/>
  <c r="E29" i="830"/>
  <c r="E36" i="829"/>
  <c r="B29" i="829"/>
  <c r="B23" i="829"/>
  <c r="E29" i="829" s="1"/>
  <c r="E21" i="829"/>
  <c r="F16" i="829"/>
  <c r="B13" i="829"/>
  <c r="B27" i="829" s="1"/>
  <c r="B33" i="829" s="1"/>
  <c r="B35" i="829" l="1"/>
  <c r="E27" i="829"/>
  <c r="B15" i="829"/>
  <c r="B25" i="829" s="1"/>
  <c r="E36" i="828"/>
  <c r="B29" i="828"/>
  <c r="B23" i="828"/>
  <c r="E29" i="828" s="1"/>
  <c r="E21" i="828"/>
  <c r="F16" i="828"/>
  <c r="B13" i="828"/>
  <c r="B27" i="828" s="1"/>
  <c r="B33" i="828" s="1"/>
  <c r="B15" i="828" l="1"/>
  <c r="B25" i="828" s="1"/>
  <c r="B35" i="828"/>
  <c r="E27" i="828"/>
  <c r="E36" i="827"/>
  <c r="B29" i="827"/>
  <c r="B23" i="827"/>
  <c r="E29" i="827" s="1"/>
  <c r="E21" i="827"/>
  <c r="F16" i="827"/>
  <c r="B13" i="827"/>
  <c r="B15" i="827" s="1"/>
  <c r="B25" i="827" s="1"/>
  <c r="B27" i="827" l="1"/>
  <c r="B33" i="827" s="1"/>
  <c r="B35" i="827" s="1"/>
  <c r="E27" i="827"/>
  <c r="E36" i="826"/>
  <c r="B29" i="826"/>
  <c r="B23" i="826"/>
  <c r="E29" i="826" s="1"/>
  <c r="E21" i="826"/>
  <c r="F16" i="826"/>
  <c r="B13" i="826"/>
  <c r="B27" i="826" s="1"/>
  <c r="B33" i="826" s="1"/>
  <c r="B15" i="826" l="1"/>
  <c r="B25" i="826" s="1"/>
  <c r="B35" i="826"/>
  <c r="E27" i="826"/>
  <c r="F17" i="825"/>
  <c r="F16" i="825" l="1"/>
  <c r="E36" i="825"/>
  <c r="B29" i="825"/>
  <c r="B23" i="825"/>
  <c r="E27" i="825" s="1"/>
  <c r="E21" i="825"/>
  <c r="B13" i="825"/>
  <c r="B15" i="825" s="1"/>
  <c r="B25" i="825" s="1"/>
  <c r="E29" i="825" l="1"/>
  <c r="B27" i="825"/>
  <c r="B33" i="825" s="1"/>
  <c r="B35" i="825" s="1"/>
  <c r="E36" i="824"/>
  <c r="B29" i="824"/>
  <c r="B23" i="824"/>
  <c r="E29" i="824" s="1"/>
  <c r="E21" i="824"/>
  <c r="F16" i="824"/>
  <c r="B13" i="824"/>
  <c r="B15" i="824" s="1"/>
  <c r="B25" i="824" s="1"/>
  <c r="B27" i="824" l="1"/>
  <c r="B33" i="824" s="1"/>
  <c r="B35" i="824" s="1"/>
  <c r="E27" i="824"/>
  <c r="E36" i="823"/>
  <c r="B29" i="823"/>
  <c r="B23" i="823"/>
  <c r="E29" i="823" s="1"/>
  <c r="E21" i="823"/>
  <c r="F16" i="823"/>
  <c r="B13" i="823"/>
  <c r="B15" i="823" s="1"/>
  <c r="B25" i="823" s="1"/>
  <c r="B27" i="823" l="1"/>
  <c r="B33" i="823" s="1"/>
  <c r="B35" i="823" s="1"/>
  <c r="E27" i="823"/>
  <c r="E36" i="822"/>
  <c r="B29" i="822"/>
  <c r="B23" i="822"/>
  <c r="E29" i="822" s="1"/>
  <c r="E21" i="822"/>
  <c r="F16" i="822"/>
  <c r="B13" i="822"/>
  <c r="B15" i="822" s="1"/>
  <c r="B25" i="822" s="1"/>
  <c r="B27" i="822" l="1"/>
  <c r="B33" i="822" s="1"/>
  <c r="B35" i="822" s="1"/>
  <c r="E27" i="822"/>
  <c r="E36" i="821"/>
  <c r="B29" i="821"/>
  <c r="B23" i="821"/>
  <c r="E29" i="821" s="1"/>
  <c r="E21" i="821"/>
  <c r="F16" i="821"/>
  <c r="B13" i="821"/>
  <c r="B15" i="821" s="1"/>
  <c r="B25" i="821" s="1"/>
  <c r="B27" i="821" l="1"/>
  <c r="B33" i="821" s="1"/>
  <c r="B35" i="821" s="1"/>
  <c r="E27" i="821"/>
  <c r="E36" i="820"/>
  <c r="B29" i="820"/>
  <c r="B23" i="820"/>
  <c r="E29" i="820" s="1"/>
  <c r="E21" i="820"/>
  <c r="F16" i="820"/>
  <c r="B13" i="820"/>
  <c r="B15" i="820" s="1"/>
  <c r="B25" i="820" s="1"/>
  <c r="B27" i="820" l="1"/>
  <c r="B33" i="820" s="1"/>
  <c r="B35" i="820" s="1"/>
  <c r="E27" i="820"/>
  <c r="E36" i="819"/>
  <c r="B29" i="819"/>
  <c r="B23" i="819"/>
  <c r="E27" i="819" s="1"/>
  <c r="E21" i="819"/>
  <c r="F16" i="819"/>
  <c r="B13" i="819"/>
  <c r="B15" i="819" s="1"/>
  <c r="B25" i="819" s="1"/>
  <c r="B27" i="819" l="1"/>
  <c r="B33" i="819" s="1"/>
  <c r="B35" i="819" s="1"/>
  <c r="E29" i="819"/>
  <c r="E36" i="818"/>
  <c r="B29" i="818"/>
  <c r="B23" i="818"/>
  <c r="E29" i="818" s="1"/>
  <c r="E21" i="818"/>
  <c r="F16" i="818"/>
  <c r="B13" i="818"/>
  <c r="B15" i="818" s="1"/>
  <c r="B25" i="818" s="1"/>
  <c r="B27" i="818" l="1"/>
  <c r="B33" i="818" s="1"/>
  <c r="B35" i="818" s="1"/>
  <c r="E27" i="818"/>
  <c r="E36" i="816" l="1"/>
  <c r="B29" i="816"/>
  <c r="B23" i="816"/>
  <c r="E29" i="816" s="1"/>
  <c r="E21" i="816"/>
  <c r="F16" i="816"/>
  <c r="B13" i="816"/>
  <c r="B15" i="816" s="1"/>
  <c r="B25" i="816" s="1"/>
  <c r="B27" i="816" l="1"/>
  <c r="B33" i="816" s="1"/>
  <c r="B35" i="816" s="1"/>
  <c r="E27" i="816"/>
  <c r="E36" i="815"/>
  <c r="B29" i="815"/>
  <c r="B23" i="815"/>
  <c r="E27" i="815" s="1"/>
  <c r="E21" i="815"/>
  <c r="F16" i="815"/>
  <c r="B13" i="815"/>
  <c r="B15" i="815" s="1"/>
  <c r="B25" i="815" s="1"/>
  <c r="B27" i="815" l="1"/>
  <c r="B33" i="815" s="1"/>
  <c r="B35" i="815" s="1"/>
  <c r="E29" i="815"/>
  <c r="G23" i="814"/>
  <c r="E36" i="814"/>
  <c r="B29" i="814"/>
  <c r="B23" i="814"/>
  <c r="E29" i="814" s="1"/>
  <c r="E21" i="814"/>
  <c r="F16" i="814"/>
  <c r="B13" i="814"/>
  <c r="B15" i="814" s="1"/>
  <c r="B25" i="814" s="1"/>
  <c r="B27" i="814" l="1"/>
  <c r="B33" i="814" s="1"/>
  <c r="B35" i="814" s="1"/>
  <c r="E27" i="814"/>
  <c r="E36" i="813"/>
  <c r="B29" i="813"/>
  <c r="B23" i="813"/>
  <c r="E29" i="813" s="1"/>
  <c r="E21" i="813"/>
  <c r="F16" i="813"/>
  <c r="B13" i="813"/>
  <c r="B15" i="813" s="1"/>
  <c r="B25" i="813" s="1"/>
  <c r="E27" i="813" l="1"/>
  <c r="B27" i="813"/>
  <c r="B33" i="813" s="1"/>
  <c r="B35" i="813" s="1"/>
  <c r="E36" i="812"/>
  <c r="B29" i="812"/>
  <c r="B23" i="812"/>
  <c r="E29" i="812" s="1"/>
  <c r="E21" i="812"/>
  <c r="F16" i="812"/>
  <c r="B13" i="812"/>
  <c r="B15" i="812" s="1"/>
  <c r="B25" i="812" s="1"/>
  <c r="B27" i="812" l="1"/>
  <c r="B33" i="812" s="1"/>
  <c r="B35" i="812" s="1"/>
  <c r="E27" i="812"/>
  <c r="B17" i="811"/>
  <c r="B23" i="811" s="1"/>
  <c r="E29" i="811" s="1"/>
  <c r="E36" i="811"/>
  <c r="B29" i="811"/>
  <c r="E21" i="811"/>
  <c r="F16" i="811"/>
  <c r="B13" i="811"/>
  <c r="B15" i="811" s="1"/>
  <c r="B25" i="811" s="1"/>
  <c r="B27" i="811" l="1"/>
  <c r="B33" i="811" s="1"/>
  <c r="B35" i="811" s="1"/>
  <c r="E27" i="811"/>
  <c r="E36" i="810"/>
  <c r="B29" i="810"/>
  <c r="B23" i="810"/>
  <c r="E27" i="810" s="1"/>
  <c r="E21" i="810"/>
  <c r="F16" i="810"/>
  <c r="B13" i="810"/>
  <c r="B27" i="810" s="1"/>
  <c r="B33" i="810" s="1"/>
  <c r="E29" i="810" l="1"/>
  <c r="B15" i="810"/>
  <c r="B25" i="810" s="1"/>
  <c r="B35" i="810"/>
  <c r="E36" i="809"/>
  <c r="B29" i="809"/>
  <c r="B23" i="809"/>
  <c r="E29" i="809" s="1"/>
  <c r="E21" i="809"/>
  <c r="F16" i="809"/>
  <c r="B13" i="809"/>
  <c r="B27" i="809" s="1"/>
  <c r="B33" i="809" s="1"/>
  <c r="B35" i="809" l="1"/>
  <c r="E27" i="809"/>
  <c r="B15" i="809"/>
  <c r="B25" i="809" s="1"/>
  <c r="E36" i="808"/>
  <c r="B29" i="808"/>
  <c r="B23" i="808"/>
  <c r="E29" i="808" s="1"/>
  <c r="E21" i="808"/>
  <c r="F16" i="808"/>
  <c r="B13" i="808"/>
  <c r="B15" i="808" s="1"/>
  <c r="B25" i="808" s="1"/>
  <c r="B27" i="808" l="1"/>
  <c r="B33" i="808" s="1"/>
  <c r="B35" i="808" s="1"/>
  <c r="E27" i="808"/>
  <c r="E42" i="807"/>
  <c r="B29" i="807"/>
  <c r="E27" i="807"/>
  <c r="B23" i="807"/>
  <c r="E35" i="807" s="1"/>
  <c r="F16" i="807"/>
  <c r="B13" i="807"/>
  <c r="B15" i="807" s="1"/>
  <c r="B25" i="807" s="1"/>
  <c r="B27" i="807" l="1"/>
  <c r="B33" i="807" s="1"/>
  <c r="B35" i="807" s="1"/>
  <c r="E33" i="807"/>
  <c r="E42" i="806"/>
  <c r="B29" i="806"/>
  <c r="E27" i="806"/>
  <c r="B23" i="806"/>
  <c r="E35" i="806" s="1"/>
  <c r="F16" i="806"/>
  <c r="B13" i="806"/>
  <c r="B15" i="806" s="1"/>
  <c r="B25" i="806" s="1"/>
  <c r="E33" i="806" l="1"/>
  <c r="B27" i="806"/>
  <c r="B33" i="806" s="1"/>
  <c r="B35" i="806" s="1"/>
  <c r="E42" i="805"/>
  <c r="B29" i="805"/>
  <c r="E27" i="805"/>
  <c r="B23" i="805"/>
  <c r="E35" i="805" s="1"/>
  <c r="F16" i="805"/>
  <c r="B13" i="805"/>
  <c r="B15" i="805" s="1"/>
  <c r="B25" i="805" s="1"/>
  <c r="B27" i="805" l="1"/>
  <c r="B33" i="805" s="1"/>
  <c r="B35" i="805" s="1"/>
  <c r="E33" i="805"/>
  <c r="B29" i="804"/>
  <c r="E42" i="804"/>
  <c r="E27" i="804"/>
  <c r="B23" i="804"/>
  <c r="E35" i="804" s="1"/>
  <c r="F16" i="804"/>
  <c r="B13" i="804"/>
  <c r="B15" i="804" s="1"/>
  <c r="B25" i="804" s="1"/>
  <c r="B27" i="804" l="1"/>
  <c r="B33" i="804" s="1"/>
  <c r="B35" i="804" s="1"/>
  <c r="E33" i="804"/>
  <c r="E42" i="803"/>
  <c r="B29" i="803"/>
  <c r="E27" i="803"/>
  <c r="B23" i="803"/>
  <c r="E33" i="803" s="1"/>
  <c r="F16" i="803"/>
  <c r="B13" i="803"/>
  <c r="B27" i="803" s="1"/>
  <c r="B33" i="803" s="1"/>
  <c r="B15" i="803" l="1"/>
  <c r="B25" i="803" s="1"/>
  <c r="B35" i="803"/>
  <c r="E35" i="803"/>
  <c r="E42" i="802"/>
  <c r="B29" i="802"/>
  <c r="E27" i="802"/>
  <c r="B23" i="802"/>
  <c r="E35" i="802" s="1"/>
  <c r="F16" i="802"/>
  <c r="B13" i="802"/>
  <c r="B15" i="802" s="1"/>
  <c r="B25" i="802" s="1"/>
  <c r="B27" i="802" l="1"/>
  <c r="B33" i="802" s="1"/>
  <c r="B35" i="802" s="1"/>
  <c r="E33" i="802"/>
  <c r="B23" i="801"/>
  <c r="E42" i="801" l="1"/>
  <c r="B29" i="801"/>
  <c r="E33" i="801"/>
  <c r="E27" i="801"/>
  <c r="F16" i="801"/>
  <c r="B13" i="801"/>
  <c r="B15" i="801" s="1"/>
  <c r="B25" i="801" s="1"/>
  <c r="B27" i="801" l="1"/>
  <c r="B33" i="801" s="1"/>
  <c r="B35" i="801" s="1"/>
  <c r="E35" i="801"/>
  <c r="E36" i="800"/>
  <c r="B29" i="800"/>
  <c r="B23" i="800"/>
  <c r="E27" i="800" s="1"/>
  <c r="E21" i="800"/>
  <c r="F16" i="800"/>
  <c r="B13" i="800"/>
  <c r="B15" i="800" s="1"/>
  <c r="B25" i="800" s="1"/>
  <c r="E29" i="800" l="1"/>
  <c r="B27" i="800"/>
  <c r="B33" i="800" s="1"/>
  <c r="B35" i="800" s="1"/>
  <c r="E36" i="799"/>
  <c r="B29" i="799"/>
  <c r="B23" i="799"/>
  <c r="E29" i="799" s="1"/>
  <c r="E21" i="799"/>
  <c r="F16" i="799"/>
  <c r="B13" i="799"/>
  <c r="B15" i="799" s="1"/>
  <c r="B25" i="799" s="1"/>
  <c r="B27" i="799" l="1"/>
  <c r="B33" i="799" s="1"/>
  <c r="B35" i="799" s="1"/>
  <c r="E27" i="799"/>
  <c r="B29" i="790"/>
  <c r="H33" i="790" l="1"/>
  <c r="E36" i="798" l="1"/>
  <c r="B29" i="798"/>
  <c r="B23" i="798"/>
  <c r="E29" i="798" s="1"/>
  <c r="E21" i="798"/>
  <c r="F16" i="798"/>
  <c r="B13" i="798"/>
  <c r="B15" i="798" s="1"/>
  <c r="B25" i="798" s="1"/>
  <c r="B27" i="798" l="1"/>
  <c r="B33" i="798" s="1"/>
  <c r="B35" i="798" s="1"/>
  <c r="E27" i="798"/>
  <c r="E36" i="797"/>
  <c r="B29" i="797"/>
  <c r="B23" i="797"/>
  <c r="E29" i="797" s="1"/>
  <c r="E21" i="797"/>
  <c r="F16" i="797"/>
  <c r="B13" i="797"/>
  <c r="B15" i="797" s="1"/>
  <c r="B25" i="797" s="1"/>
  <c r="B27" i="797" l="1"/>
  <c r="B33" i="797" s="1"/>
  <c r="B35" i="797" s="1"/>
  <c r="E27" i="797"/>
  <c r="E36" i="796"/>
  <c r="B29" i="796"/>
  <c r="B23" i="796"/>
  <c r="E29" i="796" s="1"/>
  <c r="E21" i="796"/>
  <c r="F16" i="796"/>
  <c r="B13" i="796"/>
  <c r="B15" i="796" s="1"/>
  <c r="B25" i="796" s="1"/>
  <c r="B27" i="796" l="1"/>
  <c r="B33" i="796" s="1"/>
  <c r="B35" i="796" s="1"/>
  <c r="E27" i="796"/>
  <c r="E36" i="795"/>
  <c r="B29" i="795"/>
  <c r="B23" i="795"/>
  <c r="E27" i="795" s="1"/>
  <c r="E21" i="795"/>
  <c r="F16" i="795"/>
  <c r="B13" i="795"/>
  <c r="B15" i="795" s="1"/>
  <c r="B25" i="795" s="1"/>
  <c r="B27" i="795" l="1"/>
  <c r="B33" i="795" s="1"/>
  <c r="B35" i="795" s="1"/>
  <c r="E29" i="795"/>
  <c r="E36" i="794"/>
  <c r="B29" i="794"/>
  <c r="B23" i="794"/>
  <c r="E27" i="794" s="1"/>
  <c r="E21" i="794"/>
  <c r="F16" i="794"/>
  <c r="B13" i="794"/>
  <c r="B15" i="794" s="1"/>
  <c r="B25" i="794" s="1"/>
  <c r="E36" i="793"/>
  <c r="B29" i="793"/>
  <c r="B23" i="793"/>
  <c r="E29" i="793" s="1"/>
  <c r="E21" i="793"/>
  <c r="F16" i="793"/>
  <c r="B13" i="793"/>
  <c r="B15" i="793" s="1"/>
  <c r="B25" i="793" s="1"/>
  <c r="E29" i="794" l="1"/>
  <c r="B27" i="794"/>
  <c r="B33" i="794" s="1"/>
  <c r="B35" i="794" s="1"/>
  <c r="B27" i="793"/>
  <c r="B33" i="793" s="1"/>
  <c r="B35" i="793" s="1"/>
  <c r="E27" i="793"/>
  <c r="E36" i="792"/>
  <c r="B29" i="792"/>
  <c r="B23" i="792"/>
  <c r="E27" i="792" s="1"/>
  <c r="E21" i="792"/>
  <c r="F16" i="792"/>
  <c r="B13" i="792"/>
  <c r="B15" i="792" s="1"/>
  <c r="B25" i="792" s="1"/>
  <c r="E36" i="791"/>
  <c r="B29" i="791"/>
  <c r="B23" i="791"/>
  <c r="E27" i="791" s="1"/>
  <c r="E21" i="791"/>
  <c r="F16" i="791"/>
  <c r="B13" i="791"/>
  <c r="B15" i="791" s="1"/>
  <c r="B25" i="791" s="1"/>
  <c r="B27" i="792" l="1"/>
  <c r="B33" i="792" s="1"/>
  <c r="B35" i="792" s="1"/>
  <c r="E29" i="792"/>
  <c r="E29" i="791"/>
  <c r="B27" i="791"/>
  <c r="B33" i="791" s="1"/>
  <c r="B35" i="791" s="1"/>
  <c r="F17" i="790"/>
  <c r="F16" i="790" s="1"/>
  <c r="E36" i="790"/>
  <c r="B23" i="790"/>
  <c r="E27" i="790" s="1"/>
  <c r="E21" i="790"/>
  <c r="B13" i="790"/>
  <c r="B15" i="790" l="1"/>
  <c r="B25" i="790" s="1"/>
  <c r="B27" i="790"/>
  <c r="B33" i="790" s="1"/>
  <c r="B35" i="790" s="1"/>
  <c r="E29" i="790"/>
  <c r="B9" i="788"/>
  <c r="E36" i="789"/>
  <c r="B29" i="789"/>
  <c r="B23" i="789"/>
  <c r="E29" i="789" s="1"/>
  <c r="E21" i="789"/>
  <c r="F16" i="789"/>
  <c r="B13" i="789"/>
  <c r="B15" i="789" s="1"/>
  <c r="B25" i="789" s="1"/>
  <c r="B27" i="789" l="1"/>
  <c r="B33" i="789" s="1"/>
  <c r="B35" i="789" s="1"/>
  <c r="E27" i="789"/>
  <c r="E36" i="788"/>
  <c r="B29" i="788"/>
  <c r="B23" i="788"/>
  <c r="E29" i="788" s="1"/>
  <c r="E21" i="788"/>
  <c r="F16" i="788"/>
  <c r="B13" i="788"/>
  <c r="B15" i="788" s="1"/>
  <c r="B25" i="788" s="1"/>
  <c r="B27" i="788" l="1"/>
  <c r="B33" i="788" s="1"/>
  <c r="B35" i="788" s="1"/>
  <c r="E27" i="788"/>
  <c r="F17" i="787"/>
  <c r="F16" i="787" s="1"/>
  <c r="E36" i="787"/>
  <c r="B29" i="787"/>
  <c r="B23" i="787"/>
  <c r="E29" i="787" s="1"/>
  <c r="E21" i="787"/>
  <c r="B13" i="787"/>
  <c r="B15" i="787" s="1"/>
  <c r="B25" i="787" s="1"/>
  <c r="B27" i="787" l="1"/>
  <c r="B33" i="787" s="1"/>
  <c r="B35" i="787" s="1"/>
  <c r="E27" i="787"/>
  <c r="E36" i="786"/>
  <c r="B29" i="786"/>
  <c r="B23" i="786"/>
  <c r="E27" i="786" s="1"/>
  <c r="E21" i="786"/>
  <c r="F16" i="786"/>
  <c r="B13" i="786"/>
  <c r="B27" i="786" s="1"/>
  <c r="B33" i="786" s="1"/>
  <c r="B35" i="786" l="1"/>
  <c r="B15" i="786"/>
  <c r="B25" i="786" s="1"/>
  <c r="E29" i="786"/>
  <c r="E36" i="785"/>
  <c r="B29" i="785"/>
  <c r="B23" i="785"/>
  <c r="E29" i="785" s="1"/>
  <c r="E21" i="785"/>
  <c r="F16" i="785"/>
  <c r="B13" i="785"/>
  <c r="B15" i="785" s="1"/>
  <c r="B25" i="785" s="1"/>
  <c r="B27" i="785" l="1"/>
  <c r="B33" i="785" s="1"/>
  <c r="B35" i="785" s="1"/>
  <c r="E27" i="785"/>
  <c r="E36" i="784"/>
  <c r="B29" i="784"/>
  <c r="B23" i="784"/>
  <c r="E29" i="784" s="1"/>
  <c r="E21" i="784"/>
  <c r="F16" i="784"/>
  <c r="B13" i="784"/>
  <c r="B15" i="784" s="1"/>
  <c r="B25" i="784" s="1"/>
  <c r="B27" i="784" l="1"/>
  <c r="B33" i="784" s="1"/>
  <c r="B35" i="784" s="1"/>
  <c r="E27" i="784"/>
  <c r="B13" i="783"/>
  <c r="B27" i="783" s="1"/>
  <c r="B33" i="783" s="1"/>
  <c r="E36" i="783"/>
  <c r="B29" i="783"/>
  <c r="B23" i="783"/>
  <c r="E29" i="783" s="1"/>
  <c r="E21" i="783"/>
  <c r="F16" i="783"/>
  <c r="B35" i="783" l="1"/>
  <c r="B15" i="783"/>
  <c r="B25" i="783" s="1"/>
  <c r="E27" i="783"/>
  <c r="E36" i="782"/>
  <c r="B29" i="782"/>
  <c r="B23" i="782"/>
  <c r="E29" i="782" s="1"/>
  <c r="E21" i="782"/>
  <c r="F16" i="782"/>
  <c r="B13" i="782"/>
  <c r="B15" i="782" s="1"/>
  <c r="B25" i="782" s="1"/>
  <c r="E36" i="781"/>
  <c r="B29" i="781"/>
  <c r="B23" i="781"/>
  <c r="E29" i="781" s="1"/>
  <c r="E21" i="781"/>
  <c r="F16" i="781"/>
  <c r="B13" i="781"/>
  <c r="B15" i="781" s="1"/>
  <c r="B25" i="781" s="1"/>
  <c r="B27" i="782" l="1"/>
  <c r="B33" i="782" s="1"/>
  <c r="B35" i="782" s="1"/>
  <c r="E27" i="782"/>
  <c r="B27" i="781"/>
  <c r="B33" i="781" s="1"/>
  <c r="B35" i="781" s="1"/>
  <c r="E27" i="781"/>
  <c r="E36" i="780"/>
  <c r="B29" i="780"/>
  <c r="B23" i="780"/>
  <c r="E27" i="780" s="1"/>
  <c r="E21" i="780"/>
  <c r="F16" i="780"/>
  <c r="B13" i="780"/>
  <c r="B15" i="780" s="1"/>
  <c r="B25" i="780" s="1"/>
  <c r="B27" i="780" l="1"/>
  <c r="B33" i="780" s="1"/>
  <c r="B35" i="780" s="1"/>
  <c r="E29" i="780"/>
  <c r="E36" i="779"/>
  <c r="B29" i="779"/>
  <c r="B23" i="779"/>
  <c r="E29" i="779" s="1"/>
  <c r="E21" i="779"/>
  <c r="F16" i="779"/>
  <c r="B13" i="779"/>
  <c r="B15" i="779" s="1"/>
  <c r="B25" i="779" s="1"/>
  <c r="B27" i="779" l="1"/>
  <c r="B33" i="779" s="1"/>
  <c r="B35" i="779" s="1"/>
  <c r="E27" i="779"/>
  <c r="E36" i="778"/>
  <c r="B29" i="778"/>
  <c r="B23" i="778"/>
  <c r="E29" i="778" s="1"/>
  <c r="E21" i="778"/>
  <c r="F16" i="778"/>
  <c r="B13" i="778"/>
  <c r="B15" i="778" s="1"/>
  <c r="B25" i="778" s="1"/>
  <c r="B27" i="778" l="1"/>
  <c r="B33" i="778" s="1"/>
  <c r="B35" i="778" s="1"/>
  <c r="E27" i="778"/>
  <c r="E36" i="777"/>
  <c r="B29" i="777"/>
  <c r="B23" i="777"/>
  <c r="E27" i="777" s="1"/>
  <c r="E21" i="777"/>
  <c r="F16" i="777"/>
  <c r="B13" i="777"/>
  <c r="B27" i="777" s="1"/>
  <c r="B33" i="777" s="1"/>
  <c r="B35" i="777" l="1"/>
  <c r="E29" i="777"/>
  <c r="B15" i="777"/>
  <c r="B25" i="777" s="1"/>
  <c r="E36" i="776"/>
  <c r="B29" i="776"/>
  <c r="B23" i="776"/>
  <c r="E27" i="776" s="1"/>
  <c r="E21" i="776"/>
  <c r="F16" i="776"/>
  <c r="B13" i="776"/>
  <c r="B15" i="776" s="1"/>
  <c r="B25" i="776" s="1"/>
  <c r="E29" i="776" l="1"/>
  <c r="B27" i="776"/>
  <c r="B33" i="776" s="1"/>
  <c r="B35" i="776" s="1"/>
</calcChain>
</file>

<file path=xl/sharedStrings.xml><?xml version="1.0" encoding="utf-8"?>
<sst xmlns="http://schemas.openxmlformats.org/spreadsheetml/2006/main" count="6838" uniqueCount="298">
  <si>
    <t>CLIENTE:</t>
  </si>
  <si>
    <t>DISTÂNCIAS</t>
  </si>
  <si>
    <t>COMPONENTES PISTÃO</t>
  </si>
  <si>
    <t>HASTE</t>
  </si>
  <si>
    <t>mm</t>
  </si>
  <si>
    <t>CILINDRO MESA FECHADA</t>
  </si>
  <si>
    <t>FOLGA</t>
  </si>
  <si>
    <t>TAMPA DIANTEIRA</t>
  </si>
  <si>
    <t>CILINDRO MESA ABERTA</t>
  </si>
  <si>
    <t>BUCHA</t>
  </si>
  <si>
    <t>FOLGA HASTE</t>
  </si>
  <si>
    <t>HASTE / ARTICULAÇÃO ABERTA</t>
  </si>
  <si>
    <t>TAMPA TRASEIRA</t>
  </si>
  <si>
    <t>ORELHA</t>
  </si>
  <si>
    <t>PERPEND. ARTICULAÇÃO / CENTRO HASTE</t>
  </si>
  <si>
    <t>CURSO</t>
  </si>
  <si>
    <t>CAPACIDADE DE CARGA</t>
  </si>
  <si>
    <t>ton</t>
  </si>
  <si>
    <t>CILINDRO FECHADO</t>
  </si>
  <si>
    <t>ALTURA FECHADA</t>
  </si>
  <si>
    <t>CURSO ÚTIL DE ELEVAÇÃO</t>
  </si>
  <si>
    <t>DIÂMETRO DA HASTE</t>
  </si>
  <si>
    <t>ALTURA TOTAL ABERTA</t>
  </si>
  <si>
    <t>BASE SUPERIOR</t>
  </si>
  <si>
    <t>PRESSÃO (bar)</t>
  </si>
  <si>
    <t>bar</t>
  </si>
  <si>
    <t xml:space="preserve"> </t>
  </si>
  <si>
    <t>NÚMERO DE PISTÕES</t>
  </si>
  <si>
    <t>FATOR:</t>
  </si>
  <si>
    <t>CAPACIDADE TOTAL DE CARGA</t>
  </si>
  <si>
    <t>Kg</t>
  </si>
  <si>
    <t>ÂNGULO DE SAÍDA:</t>
  </si>
  <si>
    <t>DIFERENÇA NA HASTE</t>
  </si>
  <si>
    <t>ÂNGULO DO CAVALETE</t>
  </si>
  <si>
    <t>VOLUME DE ÓLEO</t>
  </si>
  <si>
    <t>L</t>
  </si>
  <si>
    <t>FORÇA PINO CENTRAL</t>
  </si>
  <si>
    <t>kg</t>
  </si>
  <si>
    <t>POTÊNCIA DO MOTOR</t>
  </si>
  <si>
    <t>CV</t>
  </si>
  <si>
    <t>FORÇA PINO DA TESOURA</t>
  </si>
  <si>
    <t>LITROS DE ÓLEO POR MINUTO</t>
  </si>
  <si>
    <t>L/MIN</t>
  </si>
  <si>
    <t>vazão cm3/rev * 1.75 = l/min</t>
  </si>
  <si>
    <t>vazão l/min * pressão / 600 = potencia em kw</t>
  </si>
  <si>
    <t>TEMPO DE ELEVAÇÃO</t>
  </si>
  <si>
    <t>seg</t>
  </si>
  <si>
    <t>kw / 0,7547 = potência em CV</t>
  </si>
  <si>
    <t>VELOCIDADE</t>
  </si>
  <si>
    <t>m/min</t>
  </si>
  <si>
    <r>
      <t>cm</t>
    </r>
    <r>
      <rPr>
        <vertAlign val="superscript"/>
        <sz val="10"/>
        <rFont val="Arial"/>
        <family val="2"/>
      </rPr>
      <t>3</t>
    </r>
    <r>
      <rPr>
        <sz val="11"/>
        <color theme="1"/>
        <rFont val="Calibri"/>
        <family val="2"/>
        <scheme val="minor"/>
      </rPr>
      <t>/rev</t>
    </r>
  </si>
  <si>
    <t>l/min</t>
  </si>
  <si>
    <t>modelo ecosistemas:</t>
  </si>
  <si>
    <t>E33</t>
  </si>
  <si>
    <t>4000X2000</t>
  </si>
  <si>
    <t>005-26 GRUPO BUENO</t>
  </si>
  <si>
    <t>499-25 PETROBRÁS</t>
  </si>
  <si>
    <t>2400X1300</t>
  </si>
  <si>
    <t>CS500CG2000</t>
  </si>
  <si>
    <t>CS1400CG2000</t>
  </si>
  <si>
    <t>003-26 MOHAWK</t>
  </si>
  <si>
    <t>1500X1200</t>
  </si>
  <si>
    <t>CS1000CG2000</t>
  </si>
  <si>
    <t>CS700CG3000</t>
  </si>
  <si>
    <t>2800X2000</t>
  </si>
  <si>
    <t>028-26 SCM</t>
  </si>
  <si>
    <t>029-26 MAQUIMASA</t>
  </si>
  <si>
    <t>5000X1000</t>
  </si>
  <si>
    <t>CS600CG9000</t>
  </si>
  <si>
    <t>030-26 BRETON</t>
  </si>
  <si>
    <t>2000X900</t>
  </si>
  <si>
    <t>CS1500CG2500</t>
  </si>
  <si>
    <t>2000 x 2000</t>
  </si>
  <si>
    <t>042-26 SEE</t>
  </si>
  <si>
    <t>041-26 GUIMEPA</t>
  </si>
  <si>
    <t>CS1600CG500</t>
  </si>
  <si>
    <t>2200X2600</t>
  </si>
  <si>
    <t>055-26 AMSTEDMAXION</t>
  </si>
  <si>
    <t>1600X1200</t>
  </si>
  <si>
    <t>056-26 COMEXPORT</t>
  </si>
  <si>
    <t>2300x1500</t>
  </si>
  <si>
    <t>061-26 COFERPA</t>
  </si>
  <si>
    <t>,</t>
  </si>
  <si>
    <t>CS400CG2900</t>
  </si>
  <si>
    <t>064-26 FALCARE</t>
  </si>
  <si>
    <t>CS1900CG7000</t>
  </si>
  <si>
    <t>4500X900</t>
  </si>
  <si>
    <t>1200X1000</t>
  </si>
  <si>
    <t>071-26 IDV</t>
  </si>
  <si>
    <t>CS450CG9000</t>
  </si>
  <si>
    <t>1400X1000</t>
  </si>
  <si>
    <t>077-26 IDEAL TRANSPORTES</t>
  </si>
  <si>
    <t>CS650CG2500</t>
  </si>
  <si>
    <t>1600X900</t>
  </si>
  <si>
    <t>CS920CG1200</t>
  </si>
  <si>
    <t>1936X1306</t>
  </si>
  <si>
    <t>085-26 CASSIOLI</t>
  </si>
  <si>
    <t>3500X3000</t>
  </si>
  <si>
    <t>090-26 NETZSCH 5T</t>
  </si>
  <si>
    <t>090-26 NETZSCH 3T</t>
  </si>
  <si>
    <t>089-26 SUMARÉ 3D</t>
  </si>
  <si>
    <t>CS550CG300</t>
  </si>
  <si>
    <t>1410X1130</t>
  </si>
  <si>
    <t>083-26 HAVER</t>
  </si>
  <si>
    <t>1500X2400</t>
  </si>
  <si>
    <t>MHSP CS1500CG3000</t>
  </si>
  <si>
    <t>CS900CG5000</t>
  </si>
  <si>
    <t>CS900CG3000</t>
  </si>
  <si>
    <t>462-25 CONVOY</t>
  </si>
  <si>
    <t>CS600CG8000</t>
  </si>
  <si>
    <t>700X3500</t>
  </si>
  <si>
    <t>109-26 DURR</t>
  </si>
  <si>
    <t>6000X1000</t>
  </si>
  <si>
    <t>110-26 SAI-BR</t>
  </si>
  <si>
    <t>4000X1500</t>
  </si>
  <si>
    <t>CS2500CG4000</t>
  </si>
  <si>
    <t>112-26 AÇO CEARENSE</t>
  </si>
  <si>
    <t>12000X1250</t>
  </si>
  <si>
    <t>CS12000CG3000</t>
  </si>
  <si>
    <t>SUBIDA</t>
  </si>
  <si>
    <t>DESCIDA</t>
  </si>
  <si>
    <t>098-26 INCOFLANDERS</t>
  </si>
  <si>
    <t>CS950CG2000</t>
  </si>
  <si>
    <t>130-26 COLOMBOTEC</t>
  </si>
  <si>
    <t>133-26 CSM</t>
  </si>
  <si>
    <t>CS650CG17000</t>
  </si>
  <si>
    <t>N° Cilindros</t>
  </si>
  <si>
    <t>Centros de Articulação</t>
  </si>
  <si>
    <t>Centro Articulação Haste</t>
  </si>
  <si>
    <t>Entre Centros Cilindro Aberto</t>
  </si>
  <si>
    <t>142-26 SEE SISTEMAS</t>
  </si>
  <si>
    <t>123-26 ZIKELI</t>
  </si>
  <si>
    <t>650x1100</t>
  </si>
  <si>
    <t>CS500CG1500</t>
  </si>
  <si>
    <t>1200x1566</t>
  </si>
  <si>
    <t>141-26 XCMG</t>
  </si>
  <si>
    <t>4000X6000</t>
  </si>
  <si>
    <t>CS2000CG60000</t>
  </si>
  <si>
    <t>2500X6000</t>
  </si>
  <si>
    <t>144-26 MOLAS MARCHETTI</t>
  </si>
  <si>
    <t>145-26 CECIL</t>
  </si>
  <si>
    <t>CS504CG20000</t>
  </si>
  <si>
    <t>2100X1300</t>
  </si>
  <si>
    <t>CS360CG200</t>
  </si>
  <si>
    <t>139-26 NETZSCH</t>
  </si>
  <si>
    <t>1200X3000</t>
  </si>
  <si>
    <t>CS500CG4000</t>
  </si>
  <si>
    <t>CS300CG200</t>
  </si>
  <si>
    <t>158-26 HONDA</t>
  </si>
  <si>
    <t>1100X300</t>
  </si>
  <si>
    <t>193-26 KME</t>
  </si>
  <si>
    <t>2500x1100</t>
  </si>
  <si>
    <t>CS900CG250</t>
  </si>
  <si>
    <t>176-26 DURR</t>
  </si>
  <si>
    <t>CS1800CG1800</t>
  </si>
  <si>
    <t>1100X5000</t>
  </si>
  <si>
    <t>177-26 NISSAN</t>
  </si>
  <si>
    <t>620X1800</t>
  </si>
  <si>
    <t>189-26 PRINTSTORE</t>
  </si>
  <si>
    <t>CS1150CG1700</t>
  </si>
  <si>
    <t>1500x5500</t>
  </si>
  <si>
    <t>174-26 JAKES FACHINETTE</t>
  </si>
  <si>
    <t>CS500CG1700</t>
  </si>
  <si>
    <t>1800X1720</t>
  </si>
  <si>
    <t>172-26 GREENBRIER MAXION</t>
  </si>
  <si>
    <t>CS950CG1080</t>
  </si>
  <si>
    <t>1000X1020</t>
  </si>
  <si>
    <t>180-26 DATA ENGENHARIA</t>
  </si>
  <si>
    <t>CS1500CG200</t>
  </si>
  <si>
    <t>1500X3000</t>
  </si>
  <si>
    <t>182-26 TEADIT</t>
  </si>
  <si>
    <t>202-26 HYGIELINE</t>
  </si>
  <si>
    <t>CS1200CG1000</t>
  </si>
  <si>
    <t>1700X1700</t>
  </si>
  <si>
    <t>168-26 OFFSHORE</t>
  </si>
  <si>
    <t>2000X2000</t>
  </si>
  <si>
    <t>CS1700CG10000</t>
  </si>
  <si>
    <t>167-26 ANDINO</t>
  </si>
  <si>
    <t>2500X2500</t>
  </si>
  <si>
    <t>CS1400CG10000</t>
  </si>
  <si>
    <t>169-26 YURI COGUMELOS</t>
  </si>
  <si>
    <t>1600X2500</t>
  </si>
  <si>
    <t>188-26 TSEA ENERGY</t>
  </si>
  <si>
    <t>CS1250CG3000</t>
  </si>
  <si>
    <t>1000x3000</t>
  </si>
  <si>
    <t>209-25 TOLEDO</t>
  </si>
  <si>
    <t>750X1500</t>
  </si>
  <si>
    <t>CS700CG250</t>
  </si>
  <si>
    <t>197-26 ODYCELL</t>
  </si>
  <si>
    <t>2500X2300</t>
  </si>
  <si>
    <t>198-26 MARCHETTI</t>
  </si>
  <si>
    <t>800X2500</t>
  </si>
  <si>
    <t>199-26 GEA</t>
  </si>
  <si>
    <t>CS500CG100</t>
  </si>
  <si>
    <t>1000X1000</t>
  </si>
  <si>
    <t>CS850CG1600</t>
  </si>
  <si>
    <t>205-26 EBARA BOMBAS</t>
  </si>
  <si>
    <t>2900X5000</t>
  </si>
  <si>
    <t>CS1500CG2000</t>
  </si>
  <si>
    <t>201-26 AL PUXADORES</t>
  </si>
  <si>
    <t>1200X1200</t>
  </si>
  <si>
    <t>CS900CG1200</t>
  </si>
  <si>
    <t>CS400CG10000</t>
  </si>
  <si>
    <t>CS650CG2000</t>
  </si>
  <si>
    <t>3100X3100</t>
  </si>
  <si>
    <t>220-26 HITACHI ENERGY (M1)</t>
  </si>
  <si>
    <t>220-26 HITACHI ENERGY (M2)</t>
  </si>
  <si>
    <t>222-26 LITORAL PERFIS</t>
  </si>
  <si>
    <t>4000X1000</t>
  </si>
  <si>
    <t>CS1500CG1500</t>
  </si>
  <si>
    <t>253-26 RICCÓ</t>
  </si>
  <si>
    <t>530x2000</t>
  </si>
  <si>
    <t>CS1000CG1000</t>
  </si>
  <si>
    <t>256-26 TUNKERS</t>
  </si>
  <si>
    <t>CS1219CG1500</t>
  </si>
  <si>
    <t>237-26 WEIR</t>
  </si>
  <si>
    <t>CS700CG6000</t>
  </si>
  <si>
    <t>272-26 ABB</t>
  </si>
  <si>
    <t>3000X6500</t>
  </si>
  <si>
    <t>CS500CG2815</t>
  </si>
  <si>
    <t>300-26 ALFA LAVAL</t>
  </si>
  <si>
    <t>1000X2500</t>
  </si>
  <si>
    <t>CS850CG2000</t>
  </si>
  <si>
    <t>238-26 WEG BLUMENAU</t>
  </si>
  <si>
    <t>1050X1300</t>
  </si>
  <si>
    <t>CS550CG100</t>
  </si>
  <si>
    <t>282-26 DOVER</t>
  </si>
  <si>
    <t>600X2000</t>
  </si>
  <si>
    <t>CS1250CG1200</t>
  </si>
  <si>
    <t>082-25 JACTO</t>
  </si>
  <si>
    <t>CS500CG20000</t>
  </si>
  <si>
    <t>1500x8000</t>
  </si>
  <si>
    <t>296-26 EVAPCO</t>
  </si>
  <si>
    <t>CS1445CG350</t>
  </si>
  <si>
    <t>153-26 DAIDO</t>
  </si>
  <si>
    <t>1000X5000</t>
  </si>
  <si>
    <t>CS1000CG3500</t>
  </si>
  <si>
    <t>219-26 STELBEN</t>
  </si>
  <si>
    <t>225-26 AD ART ARTEFATOS</t>
  </si>
  <si>
    <t>900X2400</t>
  </si>
  <si>
    <t>CS630CG300</t>
  </si>
  <si>
    <t>322-26 NETZSCH 800KG</t>
  </si>
  <si>
    <t>4300X1000</t>
  </si>
  <si>
    <t>CS550CG800</t>
  </si>
  <si>
    <t>CS800CG1500</t>
  </si>
  <si>
    <t>6000x1000</t>
  </si>
  <si>
    <t>323-26 NETZSCH 1500KG</t>
  </si>
  <si>
    <t>117-25 HAVER 3 TON</t>
  </si>
  <si>
    <t>1650X1900</t>
  </si>
  <si>
    <t>CS1100CG1000</t>
  </si>
  <si>
    <t>CS1100CG3000</t>
  </si>
  <si>
    <t>324-26 TERMOMECANICA</t>
  </si>
  <si>
    <t>1300X1700</t>
  </si>
  <si>
    <t>CS800CG5000</t>
  </si>
  <si>
    <t>275-26 CEZARINO</t>
  </si>
  <si>
    <t>700x1400</t>
  </si>
  <si>
    <t>CS750CG1000</t>
  </si>
  <si>
    <t>342-26 ARCELOR MITTAL</t>
  </si>
  <si>
    <t>CS850CG13000</t>
  </si>
  <si>
    <t>332-26 ASA HIDRAULYC</t>
  </si>
  <si>
    <t>800x2000</t>
  </si>
  <si>
    <t>CS800CG500</t>
  </si>
  <si>
    <t>331-26 ITAIPU</t>
  </si>
  <si>
    <t>1200x1400</t>
  </si>
  <si>
    <t>362-26 FRANKLIN</t>
  </si>
  <si>
    <t>600X3000</t>
  </si>
  <si>
    <t>CS1250CG500</t>
  </si>
  <si>
    <t>086-25</t>
  </si>
  <si>
    <t>CS1000CG15000</t>
  </si>
  <si>
    <t>1500X8000</t>
  </si>
  <si>
    <t>082/26 JACTO</t>
  </si>
  <si>
    <t>372-26 SCHULZ</t>
  </si>
  <si>
    <t>1000X1300</t>
  </si>
  <si>
    <t>403-26 JACTO</t>
  </si>
  <si>
    <t>CS650CG17500</t>
  </si>
  <si>
    <t>900X4100</t>
  </si>
  <si>
    <t>411-26 ARCELOR MITTAL</t>
  </si>
  <si>
    <t>CS900CG4500</t>
  </si>
  <si>
    <t>1500X2000</t>
  </si>
  <si>
    <t>408- 26 ERZINGER</t>
  </si>
  <si>
    <t>CS800CG700</t>
  </si>
  <si>
    <t>2500X3000</t>
  </si>
  <si>
    <t>417-26 CASSIOLI</t>
  </si>
  <si>
    <t>395-26 ACTIVE</t>
  </si>
  <si>
    <t>1200X12000</t>
  </si>
  <si>
    <t>CS550CG500</t>
  </si>
  <si>
    <t>1000x1500</t>
  </si>
  <si>
    <t>423-26 BRAS METAL</t>
  </si>
  <si>
    <t>500X800</t>
  </si>
  <si>
    <t>CS500CG255</t>
  </si>
  <si>
    <t>1000x2500</t>
  </si>
  <si>
    <t>CS1200CG5000</t>
  </si>
  <si>
    <t>438-26 ARCELOR MITAL</t>
  </si>
  <si>
    <t>1600X3300</t>
  </si>
  <si>
    <t>CS1000CG12000</t>
  </si>
  <si>
    <t>357-26 ARCELOR</t>
  </si>
  <si>
    <t>419-26 ROMAGNOLE</t>
  </si>
  <si>
    <t>CS900CG500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</si>
</sst>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vertAlign val="superscript"/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i/>
      <sz val="10"/>
      <color theme="1"/>
      <name val="Calibri"/>
      <family val="2"/>
      <scheme val="minor"/>
    </font>
    <font>
      <sz val="12"/>
      <name val="Arial"/>
      <family val="2"/>
    </font>
    <font>
      <b/>
      <i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 applyAlignment="1">
      <alignment horizontal="right"/>
    </xf>
    <xf numFmtId="0" fontId="4" fillId="0" borderId="4" xfId="0" applyFont="1" applyBorder="1"/>
    <xf numFmtId="0" fontId="2" fillId="0" borderId="5" xfId="0" applyFont="1" applyBorder="1"/>
    <xf numFmtId="2" fontId="4" fillId="0" borderId="6" xfId="0" applyNumberFormat="1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2" fillId="0" borderId="7" xfId="0" applyFont="1" applyBorder="1"/>
    <xf numFmtId="0" fontId="2" fillId="2" borderId="8" xfId="0" applyFont="1" applyFill="1" applyBorder="1"/>
    <xf numFmtId="0" fontId="2" fillId="0" borderId="9" xfId="0" applyFont="1" applyBorder="1"/>
    <xf numFmtId="0" fontId="2" fillId="3" borderId="11" xfId="0" applyFont="1" applyFill="1" applyBorder="1"/>
    <xf numFmtId="0" fontId="2" fillId="3" borderId="2" xfId="0" applyFont="1" applyFill="1" applyBorder="1"/>
    <xf numFmtId="0" fontId="2" fillId="0" borderId="12" xfId="0" applyFont="1" applyBorder="1"/>
    <xf numFmtId="0" fontId="2" fillId="0" borderId="13" xfId="0" applyFont="1" applyBorder="1"/>
    <xf numFmtId="0" fontId="2" fillId="2" borderId="8" xfId="0" applyFont="1" applyFill="1" applyBorder="1" applyAlignment="1">
      <alignment horizontal="right"/>
    </xf>
    <xf numFmtId="0" fontId="4" fillId="2" borderId="8" xfId="0" applyFont="1" applyFill="1" applyBorder="1"/>
    <xf numFmtId="0" fontId="2" fillId="0" borderId="1" xfId="0" applyFont="1" applyBorder="1"/>
    <xf numFmtId="0" fontId="4" fillId="2" borderId="12" xfId="0" applyFont="1" applyFill="1" applyBorder="1" applyAlignment="1">
      <alignment horizontal="right"/>
    </xf>
    <xf numFmtId="2" fontId="2" fillId="2" borderId="8" xfId="0" applyNumberFormat="1" applyFont="1" applyFill="1" applyBorder="1"/>
    <xf numFmtId="0" fontId="0" fillId="2" borderId="12" xfId="0" applyFill="1" applyBorder="1" applyAlignment="1">
      <alignment horizontal="right"/>
    </xf>
    <xf numFmtId="2" fontId="2" fillId="2" borderId="13" xfId="0" applyNumberFormat="1" applyFont="1" applyFill="1" applyBorder="1" applyAlignment="1">
      <alignment horizontal="right"/>
    </xf>
    <xf numFmtId="0" fontId="3" fillId="2" borderId="8" xfId="0" applyFont="1" applyFill="1" applyBorder="1" applyAlignment="1">
      <alignment horizontal="right"/>
    </xf>
    <xf numFmtId="1" fontId="3" fillId="2" borderId="8" xfId="0" applyNumberFormat="1" applyFont="1" applyFill="1" applyBorder="1"/>
    <xf numFmtId="0" fontId="4" fillId="0" borderId="14" xfId="0" applyFont="1" applyBorder="1" applyAlignment="1">
      <alignment horizontal="right"/>
    </xf>
    <xf numFmtId="0" fontId="0" fillId="2" borderId="1" xfId="0" applyFill="1" applyBorder="1"/>
    <xf numFmtId="0" fontId="0" fillId="2" borderId="1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4" xfId="0" applyFill="1" applyBorder="1"/>
    <xf numFmtId="0" fontId="0" fillId="2" borderId="7" xfId="0" applyFill="1" applyBorder="1"/>
    <xf numFmtId="0" fontId="0" fillId="2" borderId="15" xfId="0" applyFill="1" applyBorder="1"/>
    <xf numFmtId="0" fontId="0" fillId="2" borderId="16" xfId="0" applyFill="1" applyBorder="1"/>
    <xf numFmtId="0" fontId="0" fillId="0" borderId="0" xfId="0" applyAlignment="1">
      <alignment horizontal="right"/>
    </xf>
    <xf numFmtId="0" fontId="2" fillId="0" borderId="16" xfId="0" applyFont="1" applyBorder="1" applyAlignment="1">
      <alignment horizontal="right"/>
    </xf>
    <xf numFmtId="0" fontId="4" fillId="0" borderId="8" xfId="0" applyFont="1" applyBorder="1"/>
    <xf numFmtId="164" fontId="0" fillId="2" borderId="8" xfId="0" applyNumberFormat="1" applyFill="1" applyBorder="1"/>
    <xf numFmtId="0" fontId="4" fillId="0" borderId="0" xfId="0" applyFont="1" applyAlignment="1">
      <alignment horizontal="right"/>
    </xf>
    <xf numFmtId="164" fontId="0" fillId="0" borderId="0" xfId="0" applyNumberFormat="1"/>
    <xf numFmtId="2" fontId="0" fillId="0" borderId="0" xfId="0" applyNumberFormat="1"/>
    <xf numFmtId="0" fontId="4" fillId="0" borderId="4" xfId="0" applyFont="1" applyBorder="1" applyAlignment="1">
      <alignment horizontal="right"/>
    </xf>
    <xf numFmtId="2" fontId="2" fillId="0" borderId="4" xfId="0" quotePrefix="1" applyNumberFormat="1" applyFont="1" applyBorder="1" applyAlignment="1">
      <alignment horizontal="right"/>
    </xf>
    <xf numFmtId="4" fontId="0" fillId="0" borderId="0" xfId="0" applyNumberFormat="1"/>
    <xf numFmtId="1" fontId="2" fillId="2" borderId="10" xfId="0" quotePrefix="1" applyNumberFormat="1" applyFont="1" applyFill="1" applyBorder="1" applyAlignment="1">
      <alignment horizontal="right"/>
    </xf>
    <xf numFmtId="0" fontId="6" fillId="0" borderId="0" xfId="0" applyFont="1"/>
    <xf numFmtId="0" fontId="2" fillId="3" borderId="1" xfId="0" quotePrefix="1" applyFont="1" applyFill="1" applyBorder="1" applyAlignment="1">
      <alignment horizontal="left"/>
    </xf>
    <xf numFmtId="0" fontId="2" fillId="2" borderId="13" xfId="0" quotePrefix="1" applyFont="1" applyFill="1" applyBorder="1" applyAlignment="1">
      <alignment horizontal="right"/>
    </xf>
    <xf numFmtId="0" fontId="7" fillId="0" borderId="11" xfId="0" quotePrefix="1" applyFont="1" applyBorder="1" applyAlignment="1">
      <alignment horizontal="left"/>
    </xf>
    <xf numFmtId="0" fontId="8" fillId="0" borderId="0" xfId="0" applyFont="1"/>
    <xf numFmtId="2" fontId="2" fillId="2" borderId="10" xfId="0" applyNumberFormat="1" applyFont="1" applyFill="1" applyBorder="1" applyAlignment="1">
      <alignment horizontal="right"/>
    </xf>
    <xf numFmtId="0" fontId="9" fillId="0" borderId="0" xfId="0" quotePrefix="1" applyFont="1" applyAlignment="1">
      <alignment horizontal="left"/>
    </xf>
    <xf numFmtId="14" fontId="2" fillId="0" borderId="0" xfId="0" applyNumberFormat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0" xfId="0" quotePrefix="1" applyFont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customXml" Target="../customXml/item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9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50D8E-3D61-426C-BDA3-3B1B7291511B}">
  <sheetPr>
    <pageSetUpPr fitToPage="1"/>
  </sheetPr>
  <dimension ref="A1:M39"/>
  <sheetViews>
    <sheetView tabSelected="1" view="pageBreakPreview" zoomScale="85" zoomScaleNormal="85" zoomScaleSheetLayoutView="85" workbookViewId="0">
      <selection activeCell="C16" sqref="C16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296</v>
      </c>
      <c r="E1" s="56">
        <v>46302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681.26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977.28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920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209.72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296.02</v>
      </c>
      <c r="C13" s="2" t="s">
        <v>4</v>
      </c>
      <c r="D13" s="50" t="s">
        <v>297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0.5</v>
      </c>
      <c r="G14" t="s">
        <v>17</v>
      </c>
    </row>
    <row r="15" spans="1:13" ht="15.75" thickBot="1" x14ac:dyDescent="0.3">
      <c r="A15" s="14" t="s">
        <v>18</v>
      </c>
      <c r="B15" s="54">
        <f>B13+E11</f>
        <v>601.02</v>
      </c>
      <c r="C15" s="2" t="s">
        <v>4</v>
      </c>
      <c r="D15" s="17" t="s">
        <v>19</v>
      </c>
      <c r="E15" s="18"/>
      <c r="F15" s="13">
        <v>300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900</v>
      </c>
      <c r="G16" t="s">
        <v>4</v>
      </c>
    </row>
    <row r="17" spans="1:9" ht="15.75" thickBot="1" x14ac:dyDescent="0.3">
      <c r="A17" s="9" t="s">
        <v>21</v>
      </c>
      <c r="B17" s="11">
        <v>90</v>
      </c>
      <c r="D17" s="21" t="s">
        <v>22</v>
      </c>
      <c r="E17" s="5"/>
      <c r="F17" s="13">
        <v>1200</v>
      </c>
      <c r="G17" t="s">
        <v>4</v>
      </c>
      <c r="H17" s="47"/>
    </row>
    <row r="18" spans="1:9" ht="15.75" thickBot="1" x14ac:dyDescent="0.3">
      <c r="A18" s="6"/>
      <c r="B18" s="7"/>
      <c r="C18" s="2"/>
      <c r="D18" s="17" t="s">
        <v>23</v>
      </c>
      <c r="E18" s="18"/>
      <c r="F18" s="51" t="s">
        <v>290</v>
      </c>
      <c r="G18" t="s">
        <v>4</v>
      </c>
    </row>
    <row r="19" spans="1:9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9" ht="15.75" thickBot="1" x14ac:dyDescent="0.3">
      <c r="A20" s="6"/>
      <c r="B20" s="7" t="s">
        <v>26</v>
      </c>
      <c r="C20" s="2"/>
      <c r="F20" s="2"/>
    </row>
    <row r="21" spans="1:9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4.3868014495517835</v>
      </c>
      <c r="F21" s="2"/>
    </row>
    <row r="22" spans="1:9" ht="15.75" thickBot="1" x14ac:dyDescent="0.3">
      <c r="A22" s="6"/>
      <c r="B22" s="7"/>
      <c r="D22" s="2"/>
      <c r="E22" s="2"/>
      <c r="F22" s="2"/>
    </row>
    <row r="23" spans="1:9" ht="15.75" thickBot="1" x14ac:dyDescent="0.3">
      <c r="A23" s="14" t="s">
        <v>29</v>
      </c>
      <c r="B23" s="48">
        <f>((((B17/2)*(B17/2)*PI())*B19)*B21/(B9/B11)/100)</f>
        <v>5220.708233104463</v>
      </c>
      <c r="C23" s="2" t="s">
        <v>30</v>
      </c>
      <c r="D23" s="24" t="s">
        <v>31</v>
      </c>
      <c r="E23" s="20">
        <v>14.43</v>
      </c>
      <c r="F23" s="2"/>
    </row>
    <row r="24" spans="1:9" ht="15.75" thickBot="1" x14ac:dyDescent="0.3">
      <c r="A24" s="6"/>
      <c r="B24" s="46"/>
      <c r="C24" s="2"/>
      <c r="F24" s="2"/>
    </row>
    <row r="25" spans="1:9" ht="15.75" thickBot="1" x14ac:dyDescent="0.3">
      <c r="A25" s="14" t="s">
        <v>32</v>
      </c>
      <c r="B25" s="25">
        <f>B5-B15</f>
        <v>80.240000000000009</v>
      </c>
      <c r="C25" s="2" t="s">
        <v>4</v>
      </c>
      <c r="D25" s="24" t="s">
        <v>33</v>
      </c>
      <c r="E25" s="20">
        <v>5.64</v>
      </c>
      <c r="F25" s="2"/>
    </row>
    <row r="26" spans="1:9" ht="15.75" thickBot="1" x14ac:dyDescent="0.3">
      <c r="A26" s="6"/>
      <c r="B26" s="7"/>
      <c r="C26" s="2"/>
      <c r="D26" s="2"/>
      <c r="E26" s="2"/>
      <c r="F26" s="2"/>
    </row>
    <row r="27" spans="1:9" ht="15.75" thickBot="1" x14ac:dyDescent="0.3">
      <c r="A27" s="14" t="s">
        <v>34</v>
      </c>
      <c r="B27" s="25">
        <f>((((B17/2)/1000)*(((B17/2)/1000)*PI())*B13*B21))</f>
        <v>3.7663957421283847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9" ht="15.75" thickBot="1" x14ac:dyDescent="0.3">
      <c r="A28" s="6"/>
      <c r="B28" s="7"/>
      <c r="C28" s="2"/>
      <c r="D28" s="2"/>
      <c r="E28" s="2"/>
      <c r="F28" s="2"/>
    </row>
    <row r="29" spans="1:9" ht="15.75" thickBot="1" x14ac:dyDescent="0.3">
      <c r="A29" s="14" t="s">
        <v>38</v>
      </c>
      <c r="B29" s="25">
        <f>(B19*B31)/360</f>
        <v>6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  <c r="H29" s="58" t="s">
        <v>119</v>
      </c>
      <c r="I29" s="58" t="s">
        <v>120</v>
      </c>
    </row>
    <row r="30" spans="1:9" ht="15.75" thickBot="1" x14ac:dyDescent="0.3">
      <c r="A30" s="6"/>
      <c r="B30" s="7"/>
      <c r="C30" s="2"/>
      <c r="D30" s="2"/>
      <c r="E30" s="2"/>
      <c r="F30" s="2"/>
      <c r="H30" s="58">
        <v>18.3</v>
      </c>
      <c r="I30" s="58">
        <v>18.3</v>
      </c>
    </row>
    <row r="31" spans="1:9" x14ac:dyDescent="0.25">
      <c r="A31" s="9" t="s">
        <v>41</v>
      </c>
      <c r="B31" s="28">
        <v>12</v>
      </c>
      <c r="C31" s="2" t="s">
        <v>42</v>
      </c>
      <c r="D31" s="29" t="s">
        <v>43</v>
      </c>
      <c r="E31" s="30"/>
      <c r="F31" s="31"/>
    </row>
    <row r="32" spans="1:9" ht="15.75" thickBot="1" x14ac:dyDescent="0.3">
      <c r="A32" s="6"/>
      <c r="B32" s="7"/>
      <c r="C32" s="2"/>
      <c r="D32" s="32" t="s">
        <v>44</v>
      </c>
      <c r="E32" s="33"/>
      <c r="F32" s="34"/>
    </row>
    <row r="33" spans="1:8" ht="15.75" thickBot="1" x14ac:dyDescent="0.3">
      <c r="A33" s="14" t="s">
        <v>45</v>
      </c>
      <c r="B33" s="25">
        <f>B27/(B31/60)</f>
        <v>18.831978710641923</v>
      </c>
      <c r="C33" s="2" t="s">
        <v>46</v>
      </c>
      <c r="D33" s="35" t="s">
        <v>47</v>
      </c>
      <c r="E33" s="36"/>
      <c r="F33" s="37"/>
      <c r="H33" s="58">
        <f>H30+I30</f>
        <v>36.6</v>
      </c>
    </row>
    <row r="34" spans="1:8" ht="15.75" thickBot="1" x14ac:dyDescent="0.3">
      <c r="A34" s="6"/>
      <c r="B34" s="7"/>
      <c r="C34" s="2"/>
    </row>
    <row r="35" spans="1:8" ht="15.75" thickBot="1" x14ac:dyDescent="0.3">
      <c r="A35" s="14" t="s">
        <v>48</v>
      </c>
      <c r="B35" s="25">
        <f>((F16/B33)*60)/1000</f>
        <v>2.8674628847941865</v>
      </c>
      <c r="C35" s="2" t="s">
        <v>49</v>
      </c>
      <c r="D35" s="38" t="s">
        <v>50</v>
      </c>
      <c r="E35" s="38" t="s">
        <v>51</v>
      </c>
    </row>
    <row r="36" spans="1:8" ht="15.75" thickBot="1" x14ac:dyDescent="0.3">
      <c r="A36" s="12"/>
      <c r="B36" s="39"/>
      <c r="D36" s="40">
        <v>3.5</v>
      </c>
      <c r="E36" s="41">
        <f>D36*1.75</f>
        <v>6.125</v>
      </c>
    </row>
    <row r="37" spans="1:8" x14ac:dyDescent="0.25">
      <c r="B37" s="38"/>
      <c r="D37" s="3" t="s">
        <v>52</v>
      </c>
      <c r="E37" s="42" t="s">
        <v>53</v>
      </c>
      <c r="F37" s="2"/>
    </row>
    <row r="39" spans="1:8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47955-3326-4235-A243-B3D4F9DC262B}">
  <sheetPr>
    <pageSetUpPr fitToPage="1"/>
  </sheetPr>
  <dimension ref="A1:M39"/>
  <sheetViews>
    <sheetView view="pageBreakPreview" zoomScale="85" zoomScaleNormal="85" zoomScaleSheetLayoutView="85" workbookViewId="0">
      <selection activeCell="C12" sqref="C12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295</v>
      </c>
      <c r="E1" s="56">
        <v>46295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842.37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1293.94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1150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412.59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451.57000000000005</v>
      </c>
      <c r="C13" s="2" t="s">
        <v>4</v>
      </c>
      <c r="D13" s="50" t="s">
        <v>294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12</v>
      </c>
      <c r="G14" t="s">
        <v>17</v>
      </c>
    </row>
    <row r="15" spans="1:13" ht="15.75" thickBot="1" x14ac:dyDescent="0.3">
      <c r="A15" s="14" t="s">
        <v>18</v>
      </c>
      <c r="B15" s="54">
        <f>B13+E11</f>
        <v>756.57</v>
      </c>
      <c r="C15" s="2" t="s">
        <v>4</v>
      </c>
      <c r="D15" s="17" t="s">
        <v>19</v>
      </c>
      <c r="E15" s="18"/>
      <c r="F15" s="13">
        <v>600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1000</v>
      </c>
      <c r="G16" t="s">
        <v>4</v>
      </c>
    </row>
    <row r="17" spans="1:9" ht="15.75" thickBot="1" x14ac:dyDescent="0.3">
      <c r="A17" s="9" t="s">
        <v>21</v>
      </c>
      <c r="B17" s="11">
        <v>80</v>
      </c>
      <c r="D17" s="21" t="s">
        <v>22</v>
      </c>
      <c r="E17" s="5"/>
      <c r="F17" s="13">
        <v>1600</v>
      </c>
      <c r="G17" t="s">
        <v>4</v>
      </c>
      <c r="H17" s="47"/>
    </row>
    <row r="18" spans="1:9" ht="15.75" thickBot="1" x14ac:dyDescent="0.3">
      <c r="A18" s="6"/>
      <c r="B18" s="7"/>
      <c r="C18" s="2"/>
      <c r="D18" s="17" t="s">
        <v>23</v>
      </c>
      <c r="E18" s="18"/>
      <c r="F18" s="51" t="s">
        <v>293</v>
      </c>
      <c r="G18" t="s">
        <v>4</v>
      </c>
    </row>
    <row r="19" spans="1:9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9" ht="15.75" thickBot="1" x14ac:dyDescent="0.3">
      <c r="A20" s="6"/>
      <c r="B20" s="7" t="s">
        <v>26</v>
      </c>
      <c r="C20" s="2"/>
      <c r="F20" s="2"/>
    </row>
    <row r="21" spans="1:9" ht="15.75" thickBot="1" x14ac:dyDescent="0.3">
      <c r="A21" s="9" t="s">
        <v>27</v>
      </c>
      <c r="B21" s="11">
        <v>4</v>
      </c>
      <c r="C21" s="57"/>
      <c r="D21" s="22" t="s">
        <v>28</v>
      </c>
      <c r="E21" s="23">
        <f>B9/B11</f>
        <v>2.7872706560992753</v>
      </c>
      <c r="F21" s="2"/>
    </row>
    <row r="22" spans="1:9" ht="15.75" thickBot="1" x14ac:dyDescent="0.3">
      <c r="A22" s="6"/>
      <c r="B22" s="7"/>
      <c r="D22" s="2"/>
      <c r="E22" s="2"/>
      <c r="F22" s="2"/>
    </row>
    <row r="23" spans="1:9" ht="15.75" thickBot="1" x14ac:dyDescent="0.3">
      <c r="A23" s="14" t="s">
        <v>29</v>
      </c>
      <c r="B23" s="48">
        <f>((((B17/2)*(B17/2)*PI())*B19)*B21/(B9/B11)/100)</f>
        <v>12984.439559236469</v>
      </c>
      <c r="C23" s="2" t="s">
        <v>30</v>
      </c>
      <c r="D23" s="24" t="s">
        <v>31</v>
      </c>
      <c r="E23" s="20">
        <v>14.43</v>
      </c>
      <c r="F23" s="2"/>
    </row>
    <row r="24" spans="1:9" ht="15.75" thickBot="1" x14ac:dyDescent="0.3">
      <c r="A24" s="6"/>
      <c r="B24" s="46"/>
      <c r="C24" s="2"/>
      <c r="F24" s="2"/>
    </row>
    <row r="25" spans="1:9" ht="15.75" thickBot="1" x14ac:dyDescent="0.3">
      <c r="A25" s="14" t="s">
        <v>32</v>
      </c>
      <c r="B25" s="25">
        <f>B5-B15</f>
        <v>85.799999999999955</v>
      </c>
      <c r="C25" s="2" t="s">
        <v>4</v>
      </c>
      <c r="D25" s="24" t="s">
        <v>33</v>
      </c>
      <c r="E25" s="20">
        <v>5.64</v>
      </c>
      <c r="F25" s="2"/>
    </row>
    <row r="26" spans="1:9" ht="15.75" thickBot="1" x14ac:dyDescent="0.3">
      <c r="A26" s="6"/>
      <c r="B26" s="7"/>
      <c r="C26" s="2"/>
      <c r="D26" s="2"/>
      <c r="E26" s="2"/>
      <c r="F26" s="2"/>
    </row>
    <row r="27" spans="1:9" ht="15.75" thickBot="1" x14ac:dyDescent="0.3">
      <c r="A27" s="14" t="s">
        <v>34</v>
      </c>
      <c r="B27" s="25">
        <f>((((B17/2)/1000)*(((B17/2)/1000)*PI())*B13*B21))</f>
        <v>9.0793535653218775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9" ht="15.75" thickBot="1" x14ac:dyDescent="0.3">
      <c r="A28" s="6"/>
      <c r="B28" s="7"/>
      <c r="C28" s="2"/>
      <c r="D28" s="2"/>
      <c r="E28" s="2"/>
      <c r="F28" s="2"/>
    </row>
    <row r="29" spans="1:9" ht="15.75" thickBot="1" x14ac:dyDescent="0.3">
      <c r="A29" s="14" t="s">
        <v>38</v>
      </c>
      <c r="B29" s="25">
        <f>(B19*B31)/360</f>
        <v>14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  <c r="H29" s="58" t="s">
        <v>119</v>
      </c>
      <c r="I29" s="58" t="s">
        <v>120</v>
      </c>
    </row>
    <row r="30" spans="1:9" ht="15.75" thickBot="1" x14ac:dyDescent="0.3">
      <c r="A30" s="6"/>
      <c r="B30" s="7"/>
      <c r="C30" s="2"/>
      <c r="D30" s="2"/>
      <c r="E30" s="2"/>
      <c r="F30" s="2"/>
      <c r="H30" s="58">
        <v>18.3</v>
      </c>
      <c r="I30" s="58">
        <v>18.3</v>
      </c>
    </row>
    <row r="31" spans="1:9" x14ac:dyDescent="0.25">
      <c r="A31" s="9" t="s">
        <v>41</v>
      </c>
      <c r="B31" s="28">
        <v>28</v>
      </c>
      <c r="C31" s="2" t="s">
        <v>42</v>
      </c>
      <c r="D31" s="29" t="s">
        <v>43</v>
      </c>
      <c r="E31" s="30"/>
      <c r="F31" s="31"/>
    </row>
    <row r="32" spans="1:9" ht="15.75" thickBot="1" x14ac:dyDescent="0.3">
      <c r="A32" s="6"/>
      <c r="B32" s="7"/>
      <c r="C32" s="2"/>
      <c r="D32" s="32" t="s">
        <v>44</v>
      </c>
      <c r="E32" s="33"/>
      <c r="F32" s="34"/>
    </row>
    <row r="33" spans="1:8" ht="15.75" thickBot="1" x14ac:dyDescent="0.3">
      <c r="A33" s="14" t="s">
        <v>45</v>
      </c>
      <c r="B33" s="25">
        <f>B27/(B31/60)</f>
        <v>19.455757639975452</v>
      </c>
      <c r="C33" s="2" t="s">
        <v>46</v>
      </c>
      <c r="D33" s="35" t="s">
        <v>47</v>
      </c>
      <c r="E33" s="36"/>
      <c r="F33" s="37"/>
      <c r="H33" s="58">
        <f>H30+I30</f>
        <v>36.6</v>
      </c>
    </row>
    <row r="34" spans="1:8" ht="15.75" thickBot="1" x14ac:dyDescent="0.3">
      <c r="A34" s="6"/>
      <c r="B34" s="7"/>
      <c r="C34" s="2"/>
    </row>
    <row r="35" spans="1:8" ht="15.75" thickBot="1" x14ac:dyDescent="0.3">
      <c r="A35" s="14" t="s">
        <v>48</v>
      </c>
      <c r="B35" s="25">
        <f>((F16/B33)*60)/1000</f>
        <v>3.0839199948049778</v>
      </c>
      <c r="C35" s="2" t="s">
        <v>49</v>
      </c>
      <c r="D35" s="38" t="s">
        <v>50</v>
      </c>
      <c r="E35" s="38" t="s">
        <v>51</v>
      </c>
    </row>
    <row r="36" spans="1:8" ht="15.75" thickBot="1" x14ac:dyDescent="0.3">
      <c r="A36" s="12"/>
      <c r="B36" s="39"/>
      <c r="D36" s="40">
        <v>3.5</v>
      </c>
      <c r="E36" s="41">
        <f>D36*1.75</f>
        <v>6.125</v>
      </c>
    </row>
    <row r="37" spans="1:8" x14ac:dyDescent="0.25">
      <c r="B37" s="38"/>
      <c r="D37" s="3" t="s">
        <v>52</v>
      </c>
      <c r="E37" s="42" t="s">
        <v>53</v>
      </c>
      <c r="F37" s="2"/>
    </row>
    <row r="39" spans="1:8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D0C18-82CA-48AF-87F6-3B8246EA75F9}">
  <sheetPr>
    <pageSetUpPr fitToPage="1"/>
  </sheetPr>
  <dimension ref="A1:M39"/>
  <sheetViews>
    <sheetView view="pageBreakPreview" zoomScale="85" zoomScaleNormal="85" zoomScaleSheetLayoutView="85" workbookViewId="0">
      <selection activeCell="F15" sqref="F15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292</v>
      </c>
      <c r="E1" s="56">
        <v>46293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762.62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1178.26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920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277.24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415.64</v>
      </c>
      <c r="C13" s="2" t="s">
        <v>4</v>
      </c>
      <c r="D13" s="50" t="s">
        <v>291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0.255</v>
      </c>
      <c r="G14" t="s">
        <v>17</v>
      </c>
    </row>
    <row r="15" spans="1:13" ht="15.75" thickBot="1" x14ac:dyDescent="0.3">
      <c r="A15" s="14" t="s">
        <v>18</v>
      </c>
      <c r="B15" s="54">
        <f>B13+E11</f>
        <v>720.64</v>
      </c>
      <c r="C15" s="2" t="s">
        <v>4</v>
      </c>
      <c r="D15" s="17" t="s">
        <v>19</v>
      </c>
      <c r="E15" s="18"/>
      <c r="F15" s="13">
        <v>300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1400</v>
      </c>
      <c r="G16" t="s">
        <v>4</v>
      </c>
    </row>
    <row r="17" spans="1:9" ht="15.75" thickBot="1" x14ac:dyDescent="0.3">
      <c r="A17" s="9" t="s">
        <v>21</v>
      </c>
      <c r="B17" s="11">
        <v>120</v>
      </c>
      <c r="D17" s="21" t="s">
        <v>22</v>
      </c>
      <c r="E17" s="5"/>
      <c r="F17" s="13">
        <v>1700</v>
      </c>
      <c r="G17" t="s">
        <v>4</v>
      </c>
      <c r="H17" s="47"/>
    </row>
    <row r="18" spans="1:9" ht="15.75" thickBot="1" x14ac:dyDescent="0.3">
      <c r="A18" s="6"/>
      <c r="B18" s="7"/>
      <c r="C18" s="2"/>
      <c r="D18" s="17" t="s">
        <v>23</v>
      </c>
      <c r="E18" s="18"/>
      <c r="F18" s="51" t="s">
        <v>290</v>
      </c>
      <c r="G18" t="s">
        <v>4</v>
      </c>
    </row>
    <row r="19" spans="1:9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9" ht="15.75" thickBot="1" x14ac:dyDescent="0.3">
      <c r="A20" s="6"/>
      <c r="B20" s="7" t="s">
        <v>26</v>
      </c>
      <c r="C20" s="2"/>
      <c r="F20" s="2"/>
    </row>
    <row r="21" spans="1:9" ht="15.75" thickBot="1" x14ac:dyDescent="0.3">
      <c r="A21" s="9" t="s">
        <v>27</v>
      </c>
      <c r="B21" s="11">
        <v>1</v>
      </c>
      <c r="C21" s="57"/>
      <c r="D21" s="22" t="s">
        <v>28</v>
      </c>
      <c r="E21" s="23">
        <f>B9/B11</f>
        <v>3.3184244697734813</v>
      </c>
      <c r="F21" s="2"/>
    </row>
    <row r="22" spans="1:9" ht="15.75" thickBot="1" x14ac:dyDescent="0.3">
      <c r="A22" s="6"/>
      <c r="B22" s="7"/>
      <c r="D22" s="2"/>
      <c r="E22" s="2"/>
      <c r="F22" s="2"/>
    </row>
    <row r="23" spans="1:9" ht="15.75" thickBot="1" x14ac:dyDescent="0.3">
      <c r="A23" s="14" t="s">
        <v>29</v>
      </c>
      <c r="B23" s="48">
        <f>((((B17/2)*(B17/2)*PI())*B19)*B21/(B9/B11)/100)</f>
        <v>6134.6945156330421</v>
      </c>
      <c r="C23" s="2" t="s">
        <v>30</v>
      </c>
      <c r="D23" s="24" t="s">
        <v>31</v>
      </c>
      <c r="E23" s="20">
        <v>14.43</v>
      </c>
      <c r="F23" s="2"/>
    </row>
    <row r="24" spans="1:9" ht="15.75" thickBot="1" x14ac:dyDescent="0.3">
      <c r="A24" s="6"/>
      <c r="B24" s="46"/>
      <c r="C24" s="2"/>
      <c r="F24" s="2"/>
    </row>
    <row r="25" spans="1:9" ht="15.75" thickBot="1" x14ac:dyDescent="0.3">
      <c r="A25" s="14" t="s">
        <v>32</v>
      </c>
      <c r="B25" s="25">
        <f>B5-B15</f>
        <v>41.980000000000018</v>
      </c>
      <c r="C25" s="2" t="s">
        <v>4</v>
      </c>
      <c r="D25" s="24" t="s">
        <v>33</v>
      </c>
      <c r="E25" s="20">
        <v>5.64</v>
      </c>
      <c r="F25" s="2"/>
    </row>
    <row r="26" spans="1:9" ht="15.75" thickBot="1" x14ac:dyDescent="0.3">
      <c r="A26" s="6"/>
      <c r="B26" s="7"/>
      <c r="C26" s="2"/>
      <c r="D26" s="2"/>
      <c r="E26" s="2"/>
      <c r="F26" s="2"/>
    </row>
    <row r="27" spans="1:9" ht="15.75" thickBot="1" x14ac:dyDescent="0.3">
      <c r="A27" s="14" t="s">
        <v>34</v>
      </c>
      <c r="B27" s="25">
        <f>((((B17/2)/1000)*(((B17/2)/1000)*PI())*B13*B21))</f>
        <v>4.7007776539370214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9" ht="15.75" thickBot="1" x14ac:dyDescent="0.3">
      <c r="A28" s="6"/>
      <c r="B28" s="7"/>
      <c r="C28" s="2"/>
      <c r="D28" s="2"/>
      <c r="E28" s="2"/>
      <c r="F28" s="2"/>
    </row>
    <row r="29" spans="1:9" ht="15.75" thickBot="1" x14ac:dyDescent="0.3">
      <c r="A29" s="14" t="s">
        <v>38</v>
      </c>
      <c r="B29" s="25">
        <f>(B19*B31)/360</f>
        <v>6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  <c r="H29" s="58" t="s">
        <v>119</v>
      </c>
      <c r="I29" s="58" t="s">
        <v>120</v>
      </c>
    </row>
    <row r="30" spans="1:9" ht="15.75" thickBot="1" x14ac:dyDescent="0.3">
      <c r="A30" s="6"/>
      <c r="B30" s="7"/>
      <c r="C30" s="2"/>
      <c r="D30" s="2"/>
      <c r="E30" s="2"/>
      <c r="F30" s="2"/>
      <c r="H30" s="58">
        <v>18.3</v>
      </c>
      <c r="I30" s="58">
        <v>18.3</v>
      </c>
    </row>
    <row r="31" spans="1:9" x14ac:dyDescent="0.25">
      <c r="A31" s="9" t="s">
        <v>41</v>
      </c>
      <c r="B31" s="28">
        <v>12</v>
      </c>
      <c r="C31" s="2" t="s">
        <v>42</v>
      </c>
      <c r="D31" s="29" t="s">
        <v>43</v>
      </c>
      <c r="E31" s="30"/>
      <c r="F31" s="31"/>
    </row>
    <row r="32" spans="1:9" ht="15.75" thickBot="1" x14ac:dyDescent="0.3">
      <c r="A32" s="6"/>
      <c r="B32" s="7"/>
      <c r="C32" s="2"/>
      <c r="D32" s="32" t="s">
        <v>44</v>
      </c>
      <c r="E32" s="33"/>
      <c r="F32" s="34"/>
    </row>
    <row r="33" spans="1:8" ht="15.75" thickBot="1" x14ac:dyDescent="0.3">
      <c r="A33" s="14" t="s">
        <v>45</v>
      </c>
      <c r="B33" s="25">
        <f>B27/(B31/60)</f>
        <v>23.503888269685106</v>
      </c>
      <c r="C33" s="2" t="s">
        <v>46</v>
      </c>
      <c r="D33" s="35" t="s">
        <v>47</v>
      </c>
      <c r="E33" s="36"/>
      <c r="F33" s="37"/>
      <c r="H33" s="58">
        <f>H30+I30</f>
        <v>36.6</v>
      </c>
    </row>
    <row r="34" spans="1:8" ht="15.75" thickBot="1" x14ac:dyDescent="0.3">
      <c r="A34" s="6"/>
      <c r="B34" s="7"/>
      <c r="C34" s="2"/>
    </row>
    <row r="35" spans="1:8" ht="15.75" thickBot="1" x14ac:dyDescent="0.3">
      <c r="A35" s="14" t="s">
        <v>48</v>
      </c>
      <c r="B35" s="25">
        <f>((F16/B33)*60)/1000</f>
        <v>3.5738767575891561</v>
      </c>
      <c r="C35" s="2" t="s">
        <v>49</v>
      </c>
      <c r="D35" s="38" t="s">
        <v>50</v>
      </c>
      <c r="E35" s="38" t="s">
        <v>51</v>
      </c>
    </row>
    <row r="36" spans="1:8" ht="15.75" thickBot="1" x14ac:dyDescent="0.3">
      <c r="A36" s="12"/>
      <c r="B36" s="39"/>
      <c r="D36" s="40">
        <v>3.5</v>
      </c>
      <c r="E36" s="41">
        <f>D36*1.75</f>
        <v>6.125</v>
      </c>
    </row>
    <row r="37" spans="1:8" x14ac:dyDescent="0.25">
      <c r="B37" s="38"/>
      <c r="D37" s="3" t="s">
        <v>52</v>
      </c>
      <c r="E37" s="42" t="s">
        <v>53</v>
      </c>
      <c r="F37" s="2"/>
    </row>
    <row r="39" spans="1:8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284B9-B262-463F-891D-4619D666BB56}">
  <sheetPr>
    <pageSetUpPr fitToPage="1"/>
  </sheetPr>
  <dimension ref="A1:M39"/>
  <sheetViews>
    <sheetView view="pageBreakPreview" topLeftCell="A7" zoomScale="85" zoomScaleNormal="85" zoomScaleSheetLayoutView="85" workbookViewId="0">
      <selection activeCell="F14" sqref="F14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287</v>
      </c>
      <c r="E1" s="56">
        <v>46289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399.65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492.44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475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53.57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92.79000000000002</v>
      </c>
      <c r="C13" s="2" t="s">
        <v>4</v>
      </c>
      <c r="D13" s="50" t="s">
        <v>289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0.255</v>
      </c>
      <c r="G14" t="s">
        <v>17</v>
      </c>
    </row>
    <row r="15" spans="1:13" ht="15.75" thickBot="1" x14ac:dyDescent="0.3">
      <c r="A15" s="14" t="s">
        <v>18</v>
      </c>
      <c r="B15" s="54">
        <f>B13+E11</f>
        <v>397.79</v>
      </c>
      <c r="C15" s="2" t="s">
        <v>4</v>
      </c>
      <c r="D15" s="17" t="s">
        <v>19</v>
      </c>
      <c r="E15" s="18"/>
      <c r="F15" s="13">
        <v>200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500</v>
      </c>
      <c r="G16" t="s">
        <v>4</v>
      </c>
    </row>
    <row r="17" spans="1:9" ht="15.75" thickBot="1" x14ac:dyDescent="0.3">
      <c r="A17" s="9" t="s">
        <v>21</v>
      </c>
      <c r="B17" s="11">
        <v>40</v>
      </c>
      <c r="D17" s="21" t="s">
        <v>22</v>
      </c>
      <c r="E17" s="5"/>
      <c r="F17" s="13">
        <v>700</v>
      </c>
      <c r="G17" t="s">
        <v>4</v>
      </c>
      <c r="H17" s="47"/>
    </row>
    <row r="18" spans="1:9" ht="15.75" thickBot="1" x14ac:dyDescent="0.3">
      <c r="A18" s="6"/>
      <c r="B18" s="7"/>
      <c r="C18" s="2"/>
      <c r="D18" s="17" t="s">
        <v>23</v>
      </c>
      <c r="E18" s="18"/>
      <c r="F18" s="51" t="s">
        <v>288</v>
      </c>
      <c r="G18" t="s">
        <v>4</v>
      </c>
    </row>
    <row r="19" spans="1:9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9" ht="15.75" thickBot="1" x14ac:dyDescent="0.3">
      <c r="A20" s="6"/>
      <c r="B20" s="7" t="s">
        <v>26</v>
      </c>
      <c r="C20" s="2"/>
      <c r="F20" s="2"/>
    </row>
    <row r="21" spans="1:9" ht="15.75" thickBot="1" x14ac:dyDescent="0.3">
      <c r="A21" s="9" t="s">
        <v>27</v>
      </c>
      <c r="B21" s="11">
        <v>1</v>
      </c>
      <c r="C21" s="57"/>
      <c r="D21" s="22" t="s">
        <v>28</v>
      </c>
      <c r="E21" s="23">
        <f>B9/B11</f>
        <v>8.8669031174164648</v>
      </c>
      <c r="F21" s="2"/>
    </row>
    <row r="22" spans="1:9" ht="15.75" thickBot="1" x14ac:dyDescent="0.3">
      <c r="A22" s="6"/>
      <c r="B22" s="7"/>
      <c r="D22" s="2"/>
      <c r="E22" s="2"/>
      <c r="F22" s="2"/>
    </row>
    <row r="23" spans="1:9" ht="15.75" thickBot="1" x14ac:dyDescent="0.3">
      <c r="A23" s="14" t="s">
        <v>29</v>
      </c>
      <c r="B23" s="48">
        <f>((((B17/2)*(B17/2)*PI())*B19)*B21/(B9/B11)/100)</f>
        <v>255.09996902319949</v>
      </c>
      <c r="C23" s="2" t="s">
        <v>30</v>
      </c>
      <c r="D23" s="24" t="s">
        <v>31</v>
      </c>
      <c r="E23" s="20">
        <v>14.43</v>
      </c>
      <c r="F23" s="2"/>
    </row>
    <row r="24" spans="1:9" ht="15.75" thickBot="1" x14ac:dyDescent="0.3">
      <c r="A24" s="6"/>
      <c r="B24" s="46"/>
      <c r="C24" s="2"/>
      <c r="F24" s="2"/>
    </row>
    <row r="25" spans="1:9" ht="15.75" thickBot="1" x14ac:dyDescent="0.3">
      <c r="A25" s="14" t="s">
        <v>32</v>
      </c>
      <c r="B25" s="25">
        <f>B5-B15</f>
        <v>1.8599999999999568</v>
      </c>
      <c r="C25" s="2" t="s">
        <v>4</v>
      </c>
      <c r="D25" s="24" t="s">
        <v>33</v>
      </c>
      <c r="E25" s="20">
        <v>5.64</v>
      </c>
      <c r="F25" s="2"/>
    </row>
    <row r="26" spans="1:9" ht="15.75" thickBot="1" x14ac:dyDescent="0.3">
      <c r="A26" s="6"/>
      <c r="B26" s="7"/>
      <c r="C26" s="2"/>
      <c r="D26" s="2"/>
      <c r="E26" s="2"/>
      <c r="F26" s="2"/>
    </row>
    <row r="27" spans="1:9" ht="15.75" thickBot="1" x14ac:dyDescent="0.3">
      <c r="A27" s="14" t="s">
        <v>34</v>
      </c>
      <c r="B27" s="25">
        <f>((((B17/2)/1000)*(((B17/2)/1000)*PI())*B13*B21))</f>
        <v>0.11660335293063881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9" ht="15.75" thickBot="1" x14ac:dyDescent="0.3">
      <c r="A28" s="6"/>
      <c r="B28" s="7"/>
      <c r="C28" s="2"/>
      <c r="D28" s="2"/>
      <c r="E28" s="2"/>
      <c r="F28" s="2"/>
    </row>
    <row r="29" spans="1:9" ht="15.75" thickBot="1" x14ac:dyDescent="0.3">
      <c r="A29" s="14" t="s">
        <v>38</v>
      </c>
      <c r="B29" s="25">
        <f>(B19*B31)/360</f>
        <v>0.5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  <c r="H29" s="58" t="s">
        <v>119</v>
      </c>
      <c r="I29" s="58" t="s">
        <v>120</v>
      </c>
    </row>
    <row r="30" spans="1:9" ht="15.75" thickBot="1" x14ac:dyDescent="0.3">
      <c r="A30" s="6"/>
      <c r="B30" s="7"/>
      <c r="C30" s="2"/>
      <c r="D30" s="2"/>
      <c r="E30" s="2"/>
      <c r="F30" s="2"/>
      <c r="H30" s="58">
        <v>18.3</v>
      </c>
      <c r="I30" s="58">
        <v>18.3</v>
      </c>
    </row>
    <row r="31" spans="1:9" x14ac:dyDescent="0.25">
      <c r="A31" s="9" t="s">
        <v>41</v>
      </c>
      <c r="B31" s="28">
        <v>1</v>
      </c>
      <c r="C31" s="2" t="s">
        <v>42</v>
      </c>
      <c r="D31" s="29" t="s">
        <v>43</v>
      </c>
      <c r="E31" s="30"/>
      <c r="F31" s="31"/>
    </row>
    <row r="32" spans="1:9" ht="15.75" thickBot="1" x14ac:dyDescent="0.3">
      <c r="A32" s="6"/>
      <c r="B32" s="7"/>
      <c r="C32" s="2"/>
      <c r="D32" s="32" t="s">
        <v>44</v>
      </c>
      <c r="E32" s="33"/>
      <c r="F32" s="34"/>
    </row>
    <row r="33" spans="1:8" ht="15.75" thickBot="1" x14ac:dyDescent="0.3">
      <c r="A33" s="14" t="s">
        <v>45</v>
      </c>
      <c r="B33" s="25">
        <f>B27/(B31/60)</f>
        <v>6.9962011758383289</v>
      </c>
      <c r="C33" s="2" t="s">
        <v>46</v>
      </c>
      <c r="D33" s="35" t="s">
        <v>47</v>
      </c>
      <c r="E33" s="36"/>
      <c r="F33" s="37"/>
      <c r="H33" s="58">
        <f>H30+I30</f>
        <v>36.6</v>
      </c>
    </row>
    <row r="34" spans="1:8" ht="15.75" thickBot="1" x14ac:dyDescent="0.3">
      <c r="A34" s="6"/>
      <c r="B34" s="7"/>
      <c r="C34" s="2"/>
    </row>
    <row r="35" spans="1:8" ht="15.75" thickBot="1" x14ac:dyDescent="0.3">
      <c r="A35" s="14" t="s">
        <v>48</v>
      </c>
      <c r="B35" s="25">
        <f>((F16/B33)*60)/1000</f>
        <v>4.2880413593031381</v>
      </c>
      <c r="C35" s="2" t="s">
        <v>49</v>
      </c>
      <c r="D35" s="38" t="s">
        <v>50</v>
      </c>
      <c r="E35" s="38" t="s">
        <v>51</v>
      </c>
    </row>
    <row r="36" spans="1:8" ht="15.75" thickBot="1" x14ac:dyDescent="0.3">
      <c r="A36" s="12"/>
      <c r="B36" s="39"/>
      <c r="D36" s="40">
        <v>3.5</v>
      </c>
      <c r="E36" s="41">
        <f>D36*1.75</f>
        <v>6.125</v>
      </c>
    </row>
    <row r="37" spans="1:8" x14ac:dyDescent="0.25">
      <c r="B37" s="38"/>
      <c r="D37" s="3" t="s">
        <v>52</v>
      </c>
      <c r="E37" s="42" t="s">
        <v>53</v>
      </c>
      <c r="F37" s="2"/>
    </row>
    <row r="39" spans="1:8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E91E7-1E7C-4EE8-AFAF-79672DE36B1B}">
  <sheetPr>
    <pageSetUpPr fitToPage="1"/>
  </sheetPr>
  <dimension ref="A1:M39"/>
  <sheetViews>
    <sheetView view="pageBreakPreview" topLeftCell="A7" zoomScale="85" zoomScaleNormal="85" zoomScaleSheetLayoutView="85" workbookViewId="0">
      <selection activeCell="B18" sqref="B18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283</v>
      </c>
      <c r="E1" s="56">
        <v>46282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600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888.15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675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269.36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288.14999999999998</v>
      </c>
      <c r="C13" s="2" t="s">
        <v>4</v>
      </c>
      <c r="D13" s="50" t="s">
        <v>285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0.5</v>
      </c>
      <c r="G14" t="s">
        <v>17</v>
      </c>
    </row>
    <row r="15" spans="1:13" ht="15.75" thickBot="1" x14ac:dyDescent="0.3">
      <c r="A15" s="14" t="s">
        <v>18</v>
      </c>
      <c r="B15" s="54">
        <f>B13+E11</f>
        <v>593.15</v>
      </c>
      <c r="C15" s="2" t="s">
        <v>4</v>
      </c>
      <c r="D15" s="17" t="s">
        <v>19</v>
      </c>
      <c r="E15" s="18"/>
      <c r="F15" s="13">
        <v>500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700</v>
      </c>
      <c r="G16" t="s">
        <v>4</v>
      </c>
    </row>
    <row r="17" spans="1:9" ht="15.75" thickBot="1" x14ac:dyDescent="0.3">
      <c r="A17" s="9" t="s">
        <v>21</v>
      </c>
      <c r="B17" s="11">
        <v>40</v>
      </c>
      <c r="D17" s="21" t="s">
        <v>22</v>
      </c>
      <c r="E17" s="5"/>
      <c r="F17" s="13">
        <v>1200</v>
      </c>
      <c r="G17" t="s">
        <v>4</v>
      </c>
      <c r="H17" s="47"/>
    </row>
    <row r="18" spans="1:9" ht="15.75" thickBot="1" x14ac:dyDescent="0.3">
      <c r="A18" s="6"/>
      <c r="B18" s="7"/>
      <c r="C18" s="2"/>
      <c r="D18" s="17" t="s">
        <v>23</v>
      </c>
      <c r="E18" s="18"/>
      <c r="F18" s="51" t="s">
        <v>286</v>
      </c>
      <c r="G18" t="s">
        <v>4</v>
      </c>
    </row>
    <row r="19" spans="1:9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9" ht="15.75" thickBot="1" x14ac:dyDescent="0.3">
      <c r="A20" s="6"/>
      <c r="B20" s="7" t="s">
        <v>26</v>
      </c>
      <c r="C20" s="2"/>
      <c r="F20" s="2"/>
    </row>
    <row r="21" spans="1:9" ht="15.75" thickBot="1" x14ac:dyDescent="0.3">
      <c r="A21" s="9" t="s">
        <v>27</v>
      </c>
      <c r="B21" s="11">
        <v>1</v>
      </c>
      <c r="C21" s="57"/>
      <c r="D21" s="22" t="s">
        <v>28</v>
      </c>
      <c r="E21" s="23">
        <f>B9/B11</f>
        <v>2.5059400059400057</v>
      </c>
      <c r="F21" s="2"/>
    </row>
    <row r="22" spans="1:9" ht="15.75" thickBot="1" x14ac:dyDescent="0.3">
      <c r="A22" s="6"/>
      <c r="B22" s="7"/>
      <c r="D22" s="2"/>
      <c r="E22" s="2"/>
      <c r="F22" s="2"/>
    </row>
    <row r="23" spans="1:9" ht="15.75" thickBot="1" x14ac:dyDescent="0.3">
      <c r="A23" s="14" t="s">
        <v>29</v>
      </c>
      <c r="B23" s="48">
        <f>((((B17/2)*(B17/2)*PI())*B19)*B21/(B9/B11)/100)</f>
        <v>902.63402364900992</v>
      </c>
      <c r="C23" s="2" t="s">
        <v>30</v>
      </c>
      <c r="D23" s="24" t="s">
        <v>31</v>
      </c>
      <c r="E23" s="20">
        <v>14.43</v>
      </c>
      <c r="F23" s="2"/>
    </row>
    <row r="24" spans="1:9" ht="15.75" thickBot="1" x14ac:dyDescent="0.3">
      <c r="A24" s="6"/>
      <c r="B24" s="46"/>
      <c r="C24" s="2"/>
      <c r="F24" s="2"/>
    </row>
    <row r="25" spans="1:9" ht="15.75" thickBot="1" x14ac:dyDescent="0.3">
      <c r="A25" s="14" t="s">
        <v>32</v>
      </c>
      <c r="B25" s="25">
        <f>B5-B15</f>
        <v>6.8500000000000227</v>
      </c>
      <c r="C25" s="2" t="s">
        <v>4</v>
      </c>
      <c r="D25" s="24" t="s">
        <v>33</v>
      </c>
      <c r="E25" s="20">
        <v>5.64</v>
      </c>
      <c r="F25" s="2"/>
    </row>
    <row r="26" spans="1:9" ht="15.75" thickBot="1" x14ac:dyDescent="0.3">
      <c r="A26" s="6"/>
      <c r="B26" s="7"/>
      <c r="C26" s="2"/>
      <c r="D26" s="2"/>
      <c r="E26" s="2"/>
      <c r="F26" s="2"/>
    </row>
    <row r="27" spans="1:9" ht="15.75" thickBot="1" x14ac:dyDescent="0.3">
      <c r="A27" s="14" t="s">
        <v>34</v>
      </c>
      <c r="B27" s="25">
        <f>((((B17/2)/1000)*(((B17/2)/1000)*PI())*B13*B21))</f>
        <v>0.36209996925275961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9" ht="15.75" thickBot="1" x14ac:dyDescent="0.3">
      <c r="A28" s="6"/>
      <c r="B28" s="7"/>
      <c r="C28" s="2"/>
      <c r="D28" s="2"/>
      <c r="E28" s="2"/>
      <c r="F28" s="2"/>
    </row>
    <row r="29" spans="1:9" ht="15.75" thickBot="1" x14ac:dyDescent="0.3">
      <c r="A29" s="14" t="s">
        <v>38</v>
      </c>
      <c r="B29" s="25">
        <f>(B19*B31)/360</f>
        <v>3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  <c r="H29" s="58" t="s">
        <v>119</v>
      </c>
      <c r="I29" s="58" t="s">
        <v>120</v>
      </c>
    </row>
    <row r="30" spans="1:9" ht="15.75" thickBot="1" x14ac:dyDescent="0.3">
      <c r="A30" s="6"/>
      <c r="B30" s="7"/>
      <c r="C30" s="2"/>
      <c r="D30" s="2"/>
      <c r="E30" s="2"/>
      <c r="F30" s="2"/>
      <c r="H30" s="58">
        <v>18.3</v>
      </c>
      <c r="I30" s="58">
        <v>18.3</v>
      </c>
    </row>
    <row r="31" spans="1:9" x14ac:dyDescent="0.25">
      <c r="A31" s="9" t="s">
        <v>41</v>
      </c>
      <c r="B31" s="28">
        <v>6</v>
      </c>
      <c r="C31" s="2" t="s">
        <v>42</v>
      </c>
      <c r="D31" s="29" t="s">
        <v>43</v>
      </c>
      <c r="E31" s="30"/>
      <c r="F31" s="31"/>
    </row>
    <row r="32" spans="1:9" ht="15.75" thickBot="1" x14ac:dyDescent="0.3">
      <c r="A32" s="6"/>
      <c r="B32" s="7"/>
      <c r="C32" s="2"/>
      <c r="D32" s="32" t="s">
        <v>44</v>
      </c>
      <c r="E32" s="33"/>
      <c r="F32" s="34"/>
    </row>
    <row r="33" spans="1:8" ht="15.75" thickBot="1" x14ac:dyDescent="0.3">
      <c r="A33" s="14" t="s">
        <v>45</v>
      </c>
      <c r="B33" s="25">
        <f>B27/(B31/60)</f>
        <v>3.620999692527596</v>
      </c>
      <c r="C33" s="2" t="s">
        <v>46</v>
      </c>
      <c r="D33" s="35" t="s">
        <v>47</v>
      </c>
      <c r="E33" s="36"/>
      <c r="F33" s="37"/>
      <c r="H33" s="58">
        <f>H30+I30</f>
        <v>36.6</v>
      </c>
    </row>
    <row r="34" spans="1:8" ht="15.75" thickBot="1" x14ac:dyDescent="0.3">
      <c r="A34" s="6"/>
      <c r="B34" s="7"/>
      <c r="C34" s="2"/>
    </row>
    <row r="35" spans="1:8" ht="15.75" thickBot="1" x14ac:dyDescent="0.3">
      <c r="A35" s="14" t="s">
        <v>48</v>
      </c>
      <c r="B35" s="25">
        <f>((F16/B33)*60)/1000</f>
        <v>11.599006784417149</v>
      </c>
      <c r="C35" s="2" t="s">
        <v>49</v>
      </c>
      <c r="D35" s="38" t="s">
        <v>50</v>
      </c>
      <c r="E35" s="38" t="s">
        <v>51</v>
      </c>
    </row>
    <row r="36" spans="1:8" ht="15.75" thickBot="1" x14ac:dyDescent="0.3">
      <c r="A36" s="12"/>
      <c r="B36" s="39"/>
      <c r="D36" s="40">
        <v>3.5</v>
      </c>
      <c r="E36" s="41">
        <f>D36*1.75</f>
        <v>6.125</v>
      </c>
    </row>
    <row r="37" spans="1:8" x14ac:dyDescent="0.25">
      <c r="B37" s="38"/>
      <c r="D37" s="3" t="s">
        <v>52</v>
      </c>
      <c r="E37" s="42" t="s">
        <v>53</v>
      </c>
      <c r="F37" s="2"/>
    </row>
    <row r="39" spans="1:8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22BE7-A42E-4B3A-94A6-FAD4CF8874BB}">
  <sheetPr>
    <pageSetUpPr fitToPage="1"/>
  </sheetPr>
  <dimension ref="A1:M39"/>
  <sheetViews>
    <sheetView view="pageBreakPreview" topLeftCell="A12" zoomScale="85" zoomScaleNormal="85" zoomScaleSheetLayoutView="85" workbookViewId="0">
      <selection activeCell="C18" sqref="C18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283</v>
      </c>
      <c r="E1" s="56">
        <v>46282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421.54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525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525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41.67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103.45999999999998</v>
      </c>
      <c r="C13" s="2" t="s">
        <v>4</v>
      </c>
      <c r="D13" s="50" t="s">
        <v>285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0.5</v>
      </c>
      <c r="G14" t="s">
        <v>17</v>
      </c>
    </row>
    <row r="15" spans="1:13" ht="15.75" thickBot="1" x14ac:dyDescent="0.3">
      <c r="A15" s="14" t="s">
        <v>18</v>
      </c>
      <c r="B15" s="54">
        <f>B13+E11</f>
        <v>408.46</v>
      </c>
      <c r="C15" s="2" t="s">
        <v>4</v>
      </c>
      <c r="D15" s="17" t="s">
        <v>19</v>
      </c>
      <c r="E15" s="18"/>
      <c r="F15" s="13">
        <v>250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550</v>
      </c>
      <c r="G16" t="s">
        <v>4</v>
      </c>
    </row>
    <row r="17" spans="1:9" ht="15.75" thickBot="1" x14ac:dyDescent="0.3">
      <c r="A17" s="9" t="s">
        <v>21</v>
      </c>
      <c r="B17" s="11">
        <v>70</v>
      </c>
      <c r="D17" s="21" t="s">
        <v>22</v>
      </c>
      <c r="E17" s="5"/>
      <c r="F17" s="13">
        <f>550+250</f>
        <v>800</v>
      </c>
      <c r="G17" t="s">
        <v>4</v>
      </c>
      <c r="H17" s="47"/>
    </row>
    <row r="18" spans="1:9" ht="15.75" thickBot="1" x14ac:dyDescent="0.3">
      <c r="A18" s="6"/>
      <c r="B18" s="7"/>
      <c r="C18" s="2"/>
      <c r="D18" s="17" t="s">
        <v>23</v>
      </c>
      <c r="E18" s="18"/>
      <c r="F18" s="51" t="s">
        <v>284</v>
      </c>
      <c r="G18" t="s">
        <v>4</v>
      </c>
    </row>
    <row r="19" spans="1:9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9" ht="15.75" thickBot="1" x14ac:dyDescent="0.3">
      <c r="A20" s="6"/>
      <c r="B20" s="7" t="s">
        <v>26</v>
      </c>
      <c r="C20" s="2"/>
      <c r="F20" s="2"/>
    </row>
    <row r="21" spans="1:9" ht="15.75" thickBot="1" x14ac:dyDescent="0.3">
      <c r="A21" s="9" t="s">
        <v>27</v>
      </c>
      <c r="B21" s="11">
        <v>1</v>
      </c>
      <c r="C21" s="57"/>
      <c r="D21" s="22" t="s">
        <v>28</v>
      </c>
      <c r="E21" s="23">
        <f>B9/B11</f>
        <v>12.598992080633549</v>
      </c>
      <c r="F21" s="2"/>
    </row>
    <row r="22" spans="1:9" ht="15.75" thickBot="1" x14ac:dyDescent="0.3">
      <c r="A22" s="6"/>
      <c r="B22" s="7"/>
      <c r="D22" s="2"/>
      <c r="E22" s="2"/>
      <c r="F22" s="2"/>
    </row>
    <row r="23" spans="1:9" ht="15.75" thickBot="1" x14ac:dyDescent="0.3">
      <c r="A23" s="14" t="s">
        <v>29</v>
      </c>
      <c r="B23" s="48">
        <f>((((B17/2)*(B17/2)*PI())*B19)*B21/(B9/B11)/100)</f>
        <v>549.82269667536411</v>
      </c>
      <c r="C23" s="2" t="s">
        <v>30</v>
      </c>
      <c r="D23" s="24" t="s">
        <v>31</v>
      </c>
      <c r="E23" s="20">
        <v>14.43</v>
      </c>
      <c r="F23" s="2"/>
    </row>
    <row r="24" spans="1:9" ht="15.75" thickBot="1" x14ac:dyDescent="0.3">
      <c r="A24" s="6"/>
      <c r="B24" s="46"/>
      <c r="C24" s="2"/>
      <c r="F24" s="2"/>
    </row>
    <row r="25" spans="1:9" ht="15.75" thickBot="1" x14ac:dyDescent="0.3">
      <c r="A25" s="14" t="s">
        <v>32</v>
      </c>
      <c r="B25" s="25">
        <f>B5-B15</f>
        <v>13.080000000000041</v>
      </c>
      <c r="C25" s="2" t="s">
        <v>4</v>
      </c>
      <c r="D25" s="24" t="s">
        <v>33</v>
      </c>
      <c r="E25" s="20">
        <v>5.64</v>
      </c>
      <c r="F25" s="2"/>
    </row>
    <row r="26" spans="1:9" ht="15.75" thickBot="1" x14ac:dyDescent="0.3">
      <c r="A26" s="6"/>
      <c r="B26" s="7"/>
      <c r="C26" s="2"/>
      <c r="D26" s="2"/>
      <c r="E26" s="2"/>
      <c r="F26" s="2"/>
    </row>
    <row r="27" spans="1:9" ht="15.75" thickBot="1" x14ac:dyDescent="0.3">
      <c r="A27" s="14" t="s">
        <v>34</v>
      </c>
      <c r="B27" s="25">
        <f>((((B17/2)/1000)*(((B17/2)/1000)*PI())*B13*B21))</f>
        <v>0.39816074052699002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9" ht="15.75" thickBot="1" x14ac:dyDescent="0.3">
      <c r="A28" s="6"/>
      <c r="B28" s="7"/>
      <c r="C28" s="2"/>
      <c r="D28" s="2"/>
      <c r="E28" s="2"/>
      <c r="F28" s="2"/>
    </row>
    <row r="29" spans="1:9" ht="15.75" thickBot="1" x14ac:dyDescent="0.3">
      <c r="A29" s="14" t="s">
        <v>38</v>
      </c>
      <c r="B29" s="25">
        <f>(B19*B31)/360</f>
        <v>1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  <c r="H29" s="58" t="s">
        <v>119</v>
      </c>
      <c r="I29" s="58" t="s">
        <v>120</v>
      </c>
    </row>
    <row r="30" spans="1:9" ht="15.75" thickBot="1" x14ac:dyDescent="0.3">
      <c r="A30" s="6"/>
      <c r="B30" s="7"/>
      <c r="C30" s="2"/>
      <c r="D30" s="2"/>
      <c r="E30" s="2"/>
      <c r="F30" s="2"/>
      <c r="H30" s="58">
        <v>18.3</v>
      </c>
      <c r="I30" s="58">
        <v>18.3</v>
      </c>
    </row>
    <row r="31" spans="1:9" x14ac:dyDescent="0.25">
      <c r="A31" s="9" t="s">
        <v>41</v>
      </c>
      <c r="B31" s="28">
        <v>2</v>
      </c>
      <c r="C31" s="2" t="s">
        <v>42</v>
      </c>
      <c r="D31" s="29" t="s">
        <v>43</v>
      </c>
      <c r="E31" s="30"/>
      <c r="F31" s="31"/>
    </row>
    <row r="32" spans="1:9" ht="15.75" thickBot="1" x14ac:dyDescent="0.3">
      <c r="A32" s="6"/>
      <c r="B32" s="7"/>
      <c r="C32" s="2"/>
      <c r="D32" s="32" t="s">
        <v>44</v>
      </c>
      <c r="E32" s="33"/>
      <c r="F32" s="34"/>
    </row>
    <row r="33" spans="1:8" ht="15.75" thickBot="1" x14ac:dyDescent="0.3">
      <c r="A33" s="14" t="s">
        <v>45</v>
      </c>
      <c r="B33" s="25">
        <f>B27/(B31/60)</f>
        <v>11.944822215809701</v>
      </c>
      <c r="C33" s="2" t="s">
        <v>46</v>
      </c>
      <c r="D33" s="35" t="s">
        <v>47</v>
      </c>
      <c r="E33" s="36"/>
      <c r="F33" s="37"/>
      <c r="H33" s="58">
        <f>H30+I30</f>
        <v>36.6</v>
      </c>
    </row>
    <row r="34" spans="1:8" ht="15.75" thickBot="1" x14ac:dyDescent="0.3">
      <c r="A34" s="6"/>
      <c r="B34" s="7"/>
      <c r="C34" s="2"/>
    </row>
    <row r="35" spans="1:8" ht="15.75" thickBot="1" x14ac:dyDescent="0.3">
      <c r="A35" s="14" t="s">
        <v>48</v>
      </c>
      <c r="B35" s="25">
        <f>((F16/B33)*60)/1000</f>
        <v>2.7627033206339804</v>
      </c>
      <c r="C35" s="2" t="s">
        <v>49</v>
      </c>
      <c r="D35" s="38" t="s">
        <v>50</v>
      </c>
      <c r="E35" s="38" t="s">
        <v>51</v>
      </c>
    </row>
    <row r="36" spans="1:8" ht="15.75" thickBot="1" x14ac:dyDescent="0.3">
      <c r="A36" s="12"/>
      <c r="B36" s="39"/>
      <c r="D36" s="40">
        <v>3.5</v>
      </c>
      <c r="E36" s="41">
        <f>D36*1.75</f>
        <v>6.125</v>
      </c>
    </row>
    <row r="37" spans="1:8" x14ac:dyDescent="0.25">
      <c r="B37" s="38"/>
      <c r="D37" s="3" t="s">
        <v>52</v>
      </c>
      <c r="E37" s="42" t="s">
        <v>53</v>
      </c>
      <c r="F37" s="2"/>
    </row>
    <row r="39" spans="1:8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2A1E-4F8A-432E-97E0-202FEAC65014}">
  <sheetPr>
    <pageSetUpPr fitToPage="1"/>
  </sheetPr>
  <dimension ref="A1:M39"/>
  <sheetViews>
    <sheetView view="pageBreakPreview" zoomScale="85" zoomScaleNormal="85" zoomScaleSheetLayoutView="85" workbookViewId="0">
      <selection activeCell="C20" sqref="C20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282</v>
      </c>
      <c r="E1" s="56">
        <v>46280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631.08000000000004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948.01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810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196.34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316.92999999999995</v>
      </c>
      <c r="C13" s="2" t="s">
        <v>4</v>
      </c>
      <c r="D13" s="50" t="s">
        <v>94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1.2</v>
      </c>
      <c r="G14" t="s">
        <v>17</v>
      </c>
    </row>
    <row r="15" spans="1:13" ht="15.75" thickBot="1" x14ac:dyDescent="0.3">
      <c r="A15" s="14" t="s">
        <v>18</v>
      </c>
      <c r="B15" s="54">
        <f>B13+E11</f>
        <v>621.92999999999995</v>
      </c>
      <c r="C15" s="2" t="s">
        <v>4</v>
      </c>
      <c r="D15" s="17" t="s">
        <v>19</v>
      </c>
      <c r="E15" s="18"/>
      <c r="F15" s="13">
        <v>404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920</v>
      </c>
      <c r="G16" t="s">
        <v>4</v>
      </c>
    </row>
    <row r="17" spans="1:9" ht="15.75" thickBot="1" x14ac:dyDescent="0.3">
      <c r="A17" s="9" t="s">
        <v>21</v>
      </c>
      <c r="B17" s="11">
        <v>70</v>
      </c>
      <c r="D17" s="21" t="s">
        <v>22</v>
      </c>
      <c r="E17" s="5"/>
      <c r="F17" s="13">
        <f>920+404</f>
        <v>1324</v>
      </c>
      <c r="G17" t="s">
        <v>4</v>
      </c>
      <c r="H17" s="47"/>
    </row>
    <row r="18" spans="1:9" ht="15.75" thickBot="1" x14ac:dyDescent="0.3">
      <c r="A18" s="6"/>
      <c r="B18" s="7"/>
      <c r="C18" s="2"/>
      <c r="D18" s="17" t="s">
        <v>23</v>
      </c>
      <c r="E18" s="18"/>
      <c r="F18" s="51" t="s">
        <v>95</v>
      </c>
      <c r="G18" t="s">
        <v>4</v>
      </c>
    </row>
    <row r="19" spans="1:9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9" ht="15.75" thickBot="1" x14ac:dyDescent="0.3">
      <c r="A20" s="6"/>
      <c r="B20" s="7" t="s">
        <v>26</v>
      </c>
      <c r="C20" s="2"/>
      <c r="F20" s="2"/>
    </row>
    <row r="21" spans="1:9" ht="15.75" thickBot="1" x14ac:dyDescent="0.3">
      <c r="A21" s="9" t="s">
        <v>27</v>
      </c>
      <c r="B21" s="11">
        <v>1</v>
      </c>
      <c r="C21" s="57"/>
      <c r="D21" s="22" t="s">
        <v>28</v>
      </c>
      <c r="E21" s="23">
        <f>B9/B11</f>
        <v>4.1254965875522052</v>
      </c>
      <c r="F21" s="2"/>
    </row>
    <row r="22" spans="1:9" ht="15.75" thickBot="1" x14ac:dyDescent="0.3">
      <c r="A22" s="6"/>
      <c r="B22" s="7"/>
      <c r="D22" s="2"/>
      <c r="E22" s="2"/>
      <c r="F22" s="2"/>
    </row>
    <row r="23" spans="1:9" ht="15.75" thickBot="1" x14ac:dyDescent="0.3">
      <c r="A23" s="14" t="s">
        <v>29</v>
      </c>
      <c r="B23" s="48">
        <f>((((B17/2)*(B17/2)*PI())*B19)*B21/(B9/B11)/100)</f>
        <v>1679.1219321491767</v>
      </c>
      <c r="C23" s="2" t="s">
        <v>30</v>
      </c>
      <c r="D23" s="24" t="s">
        <v>31</v>
      </c>
      <c r="E23" s="20">
        <v>14.43</v>
      </c>
      <c r="F23" s="2"/>
    </row>
    <row r="24" spans="1:9" ht="15.75" thickBot="1" x14ac:dyDescent="0.3">
      <c r="A24" s="6"/>
      <c r="B24" s="46"/>
      <c r="C24" s="2"/>
      <c r="F24" s="2"/>
    </row>
    <row r="25" spans="1:9" ht="15.75" thickBot="1" x14ac:dyDescent="0.3">
      <c r="A25" s="14" t="s">
        <v>32</v>
      </c>
      <c r="B25" s="25">
        <f>B5-B15</f>
        <v>9.1500000000000909</v>
      </c>
      <c r="C25" s="2" t="s">
        <v>4</v>
      </c>
      <c r="D25" s="24" t="s">
        <v>33</v>
      </c>
      <c r="E25" s="20">
        <v>5.64</v>
      </c>
      <c r="F25" s="2"/>
    </row>
    <row r="26" spans="1:9" ht="15.75" thickBot="1" x14ac:dyDescent="0.3">
      <c r="A26" s="6"/>
      <c r="B26" s="7"/>
      <c r="C26" s="2"/>
      <c r="D26" s="2"/>
      <c r="E26" s="2"/>
      <c r="F26" s="2"/>
    </row>
    <row r="27" spans="1:9" ht="15.75" thickBot="1" x14ac:dyDescent="0.3">
      <c r="A27" s="14" t="s">
        <v>34</v>
      </c>
      <c r="B27" s="25">
        <f>((((B17/2)/1000)*(((B17/2)/1000)*PI())*B13*B21))</f>
        <v>1.2196895756352111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9" ht="15.75" thickBot="1" x14ac:dyDescent="0.3">
      <c r="A28" s="6"/>
      <c r="B28" s="7"/>
      <c r="C28" s="2"/>
      <c r="D28" s="2"/>
      <c r="E28" s="2"/>
      <c r="F28" s="2"/>
    </row>
    <row r="29" spans="1:9" ht="15.75" thickBot="1" x14ac:dyDescent="0.3">
      <c r="A29" s="14" t="s">
        <v>38</v>
      </c>
      <c r="B29" s="25">
        <f>(B19*B31)/360</f>
        <v>2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  <c r="H29" s="58" t="s">
        <v>119</v>
      </c>
      <c r="I29" s="58" t="s">
        <v>120</v>
      </c>
    </row>
    <row r="30" spans="1:9" ht="15.75" thickBot="1" x14ac:dyDescent="0.3">
      <c r="A30" s="6"/>
      <c r="B30" s="7"/>
      <c r="C30" s="2"/>
      <c r="D30" s="2"/>
      <c r="E30" s="2"/>
      <c r="F30" s="2"/>
      <c r="H30" s="58">
        <v>18.3</v>
      </c>
      <c r="I30" s="58">
        <v>18.3</v>
      </c>
    </row>
    <row r="31" spans="1:9" x14ac:dyDescent="0.25">
      <c r="A31" s="9" t="s">
        <v>41</v>
      </c>
      <c r="B31" s="28">
        <v>4</v>
      </c>
      <c r="C31" s="2" t="s">
        <v>42</v>
      </c>
      <c r="D31" s="29" t="s">
        <v>43</v>
      </c>
      <c r="E31" s="30"/>
      <c r="F31" s="31"/>
    </row>
    <row r="32" spans="1:9" ht="15.75" thickBot="1" x14ac:dyDescent="0.3">
      <c r="A32" s="6"/>
      <c r="B32" s="7"/>
      <c r="C32" s="2"/>
      <c r="D32" s="32" t="s">
        <v>44</v>
      </c>
      <c r="E32" s="33"/>
      <c r="F32" s="34"/>
    </row>
    <row r="33" spans="1:8" ht="15.75" thickBot="1" x14ac:dyDescent="0.3">
      <c r="A33" s="14" t="s">
        <v>45</v>
      </c>
      <c r="B33" s="25">
        <f>B27/(B31/60)</f>
        <v>18.295343634528166</v>
      </c>
      <c r="C33" s="2" t="s">
        <v>46</v>
      </c>
      <c r="D33" s="35" t="s">
        <v>47</v>
      </c>
      <c r="E33" s="36"/>
      <c r="F33" s="37"/>
      <c r="H33" s="58">
        <f>H30+I30</f>
        <v>36.6</v>
      </c>
    </row>
    <row r="34" spans="1:8" ht="15.75" thickBot="1" x14ac:dyDescent="0.3">
      <c r="A34" s="6"/>
      <c r="B34" s="7"/>
      <c r="C34" s="2"/>
    </row>
    <row r="35" spans="1:8" ht="15.75" thickBot="1" x14ac:dyDescent="0.3">
      <c r="A35" s="14" t="s">
        <v>48</v>
      </c>
      <c r="B35" s="25">
        <f>((F16/B33)*60)/1000</f>
        <v>3.0171611478137508</v>
      </c>
      <c r="C35" s="2" t="s">
        <v>49</v>
      </c>
      <c r="D35" s="38" t="s">
        <v>50</v>
      </c>
      <c r="E35" s="38" t="s">
        <v>51</v>
      </c>
    </row>
    <row r="36" spans="1:8" ht="15.75" thickBot="1" x14ac:dyDescent="0.3">
      <c r="A36" s="12"/>
      <c r="B36" s="39"/>
      <c r="D36" s="40">
        <v>3.5</v>
      </c>
      <c r="E36" s="41">
        <f>D36*1.75</f>
        <v>6.125</v>
      </c>
    </row>
    <row r="37" spans="1:8" x14ac:dyDescent="0.25">
      <c r="B37" s="38"/>
      <c r="D37" s="3" t="s">
        <v>52</v>
      </c>
      <c r="E37" s="42" t="s">
        <v>53</v>
      </c>
      <c r="F37" s="2"/>
    </row>
    <row r="39" spans="1:8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FF44C-9E71-44D0-BA59-49BC9DB35036}">
  <sheetPr>
    <pageSetUpPr fitToPage="1"/>
  </sheetPr>
  <dimension ref="A1:M39"/>
  <sheetViews>
    <sheetView view="pageBreakPreview" topLeftCell="A7" zoomScale="85" zoomScaleNormal="85" zoomScaleSheetLayoutView="85" workbookViewId="0">
      <selection activeCell="C14" sqref="C14"/>
    </sheetView>
  </sheetViews>
  <sheetFormatPr defaultRowHeight="15" x14ac:dyDescent="0.25"/>
  <cols>
    <col min="1" max="1" width="41" customWidth="1"/>
    <col min="2" max="2" width="12.140625" customWidth="1"/>
    <col min="3" max="3" width="29.140625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279</v>
      </c>
      <c r="E1" s="56">
        <v>46280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587.9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832.03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800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153.66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244.13</v>
      </c>
      <c r="C13" s="2" t="s">
        <v>4</v>
      </c>
      <c r="D13" s="50" t="s">
        <v>280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0.7</v>
      </c>
      <c r="G14" t="s">
        <v>17</v>
      </c>
    </row>
    <row r="15" spans="1:13" ht="15.75" thickBot="1" x14ac:dyDescent="0.3">
      <c r="A15" s="14" t="s">
        <v>18</v>
      </c>
      <c r="B15" s="54">
        <f>B13+E11</f>
        <v>549.13</v>
      </c>
      <c r="C15" s="2" t="s">
        <v>4</v>
      </c>
      <c r="D15" s="17" t="s">
        <v>19</v>
      </c>
      <c r="E15" s="18"/>
      <c r="F15" s="13">
        <v>250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800</v>
      </c>
      <c r="G16" t="s">
        <v>4</v>
      </c>
    </row>
    <row r="17" spans="1:8" ht="15.75" thickBot="1" x14ac:dyDescent="0.3">
      <c r="A17" s="9" t="s">
        <v>21</v>
      </c>
      <c r="B17" s="11">
        <v>40</v>
      </c>
      <c r="D17" s="21" t="s">
        <v>22</v>
      </c>
      <c r="E17" s="5"/>
      <c r="F17" s="13">
        <v>1050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281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5.2062996225432778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868.92682887109356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38.769999999999982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0.61356561161670109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1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2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18.406968348501032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2.6077080750730399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F82D9-19C9-4D99-9870-32D4B479E947}">
  <sheetPr>
    <pageSetUpPr fitToPage="1"/>
  </sheetPr>
  <dimension ref="A1:M39"/>
  <sheetViews>
    <sheetView view="pageBreakPreview" zoomScale="85" zoomScaleNormal="85" zoomScaleSheetLayoutView="85" workbookViewId="0">
      <selection activeCell="C6" sqref="C6"/>
    </sheetView>
  </sheetViews>
  <sheetFormatPr defaultRowHeight="15" x14ac:dyDescent="0.25"/>
  <cols>
    <col min="1" max="1" width="41" customWidth="1"/>
    <col min="2" max="2" width="12.140625" customWidth="1"/>
    <col min="3" max="3" width="29.140625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276</v>
      </c>
      <c r="E1" s="56">
        <v>46275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622.39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880.55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800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146.56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258.15999999999997</v>
      </c>
      <c r="C13" s="2" t="s">
        <v>4</v>
      </c>
      <c r="D13" s="50" t="s">
        <v>277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4.5</v>
      </c>
      <c r="G14" t="s">
        <v>17</v>
      </c>
    </row>
    <row r="15" spans="1:13" ht="15.75" thickBot="1" x14ac:dyDescent="0.3">
      <c r="A15" s="14" t="s">
        <v>18</v>
      </c>
      <c r="B15" s="54">
        <f>B13+E11</f>
        <v>563.16</v>
      </c>
      <c r="C15" s="2" t="s">
        <v>4</v>
      </c>
      <c r="D15" s="17" t="s">
        <v>19</v>
      </c>
      <c r="E15" s="18"/>
      <c r="F15" s="13">
        <v>350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900</v>
      </c>
      <c r="G16" t="s">
        <v>4</v>
      </c>
    </row>
    <row r="17" spans="1:8" ht="15.75" thickBot="1" x14ac:dyDescent="0.3">
      <c r="A17" s="9" t="s">
        <v>21</v>
      </c>
      <c r="B17" s="11">
        <v>95</v>
      </c>
      <c r="D17" s="21" t="s">
        <v>22</v>
      </c>
      <c r="E17" s="5"/>
      <c r="F17" s="13">
        <v>1250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278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5.4585152838427948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4674.8218154330634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59.230000000000018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3.6597889370214678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6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12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18.298944685107337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2.9509898482806003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9BAF-7639-44B4-85C6-2A4683E63B19}">
  <sheetPr>
    <pageSetUpPr fitToPage="1"/>
  </sheetPr>
  <dimension ref="A1:M39"/>
  <sheetViews>
    <sheetView view="pageBreakPreview" zoomScale="85" zoomScaleNormal="85" zoomScaleSheetLayoutView="85" workbookViewId="0">
      <selection activeCell="C7" sqref="C7"/>
    </sheetView>
  </sheetViews>
  <sheetFormatPr defaultRowHeight="15" x14ac:dyDescent="0.25"/>
  <cols>
    <col min="1" max="1" width="41" customWidth="1"/>
    <col min="2" max="2" width="12.140625" customWidth="1"/>
    <col min="3" max="3" width="29.140625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273</v>
      </c>
      <c r="E1" s="56">
        <v>46266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737.16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1035.21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900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404.52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298.05000000000007</v>
      </c>
      <c r="C13" s="2" t="s">
        <v>4</v>
      </c>
      <c r="D13" s="50" t="s">
        <v>274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17.5</v>
      </c>
      <c r="G14" t="s">
        <v>17</v>
      </c>
    </row>
    <row r="15" spans="1:13" ht="15.75" thickBot="1" x14ac:dyDescent="0.3">
      <c r="A15" s="14" t="s">
        <v>18</v>
      </c>
      <c r="B15" s="54">
        <f>B13+E11</f>
        <v>603.05000000000007</v>
      </c>
      <c r="C15" s="2" t="s">
        <v>4</v>
      </c>
      <c r="D15" s="17" t="s">
        <v>19</v>
      </c>
      <c r="E15" s="18"/>
      <c r="F15" s="13">
        <v>650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599</v>
      </c>
      <c r="G16" t="s">
        <v>4</v>
      </c>
    </row>
    <row r="17" spans="1:8" ht="15.75" thickBot="1" x14ac:dyDescent="0.3">
      <c r="A17" s="9" t="s">
        <v>21</v>
      </c>
      <c r="B17" s="11">
        <v>120</v>
      </c>
      <c r="D17" s="21" t="s">
        <v>22</v>
      </c>
      <c r="E17" s="5"/>
      <c r="F17" s="13">
        <v>1249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275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2.2248590922574905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18300.05366731406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134.1099999999999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6.7417321708975537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12.5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25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16.180157210154128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2.221239233537561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FE0E-A8C1-4918-B843-AC55D579B47A}">
  <sheetPr>
    <pageSetUpPr fitToPage="1"/>
  </sheetPr>
  <dimension ref="A1:M39"/>
  <sheetViews>
    <sheetView view="pageBreakPreview" topLeftCell="A13" zoomScale="85" zoomScaleNormal="85" zoomScaleSheetLayoutView="85" workbookViewId="0">
      <selection activeCell="C17" sqref="C17"/>
    </sheetView>
  </sheetViews>
  <sheetFormatPr defaultRowHeight="15" x14ac:dyDescent="0.25"/>
  <cols>
    <col min="1" max="1" width="41" customWidth="1"/>
    <col min="2" max="2" width="12.140625" customWidth="1"/>
    <col min="3" max="3" width="29.140625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271</v>
      </c>
      <c r="E1" s="56">
        <v>46265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450.43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565.78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575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58.72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115.34999999999997</v>
      </c>
      <c r="C13" s="2" t="s">
        <v>4</v>
      </c>
      <c r="D13" s="50" t="s">
        <v>261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0.5</v>
      </c>
      <c r="G14" t="s">
        <v>17</v>
      </c>
    </row>
    <row r="15" spans="1:13" ht="15.75" thickBot="1" x14ac:dyDescent="0.3">
      <c r="A15" s="14" t="s">
        <v>18</v>
      </c>
      <c r="B15" s="54">
        <f>B13+E11</f>
        <v>420.34999999999997</v>
      </c>
      <c r="C15" s="2" t="s">
        <v>4</v>
      </c>
      <c r="D15" s="17" t="s">
        <v>19</v>
      </c>
      <c r="E15" s="18"/>
      <c r="F15" s="13">
        <v>250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800</v>
      </c>
      <c r="G16" t="s">
        <v>4</v>
      </c>
    </row>
    <row r="17" spans="1:8" ht="15.75" thickBot="1" x14ac:dyDescent="0.3">
      <c r="A17" s="9" t="s">
        <v>21</v>
      </c>
      <c r="B17" s="11">
        <v>70</v>
      </c>
      <c r="D17" s="21" t="s">
        <v>22</v>
      </c>
      <c r="E17" s="5"/>
      <c r="F17" s="13">
        <f>800+250</f>
        <v>1050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272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1</v>
      </c>
      <c r="C21" s="57"/>
      <c r="D21" s="22" t="s">
        <v>28</v>
      </c>
      <c r="E21" s="23">
        <f>B9/B11</f>
        <v>9.7922343324250676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707.41891645989188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30.080000000000041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0.44391882292468871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1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2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13.317564687740662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3.6042625754381259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3F4A3-5A30-459F-87C1-87306AC7E611}">
  <sheetPr>
    <pageSetUpPr fitToPage="1"/>
  </sheetPr>
  <dimension ref="A1:M39"/>
  <sheetViews>
    <sheetView view="pageBreakPreview" topLeftCell="A16" zoomScale="85" zoomScaleNormal="85" zoomScaleSheetLayoutView="85" workbookViewId="0">
      <selection activeCell="C20" sqref="C20"/>
    </sheetView>
  </sheetViews>
  <sheetFormatPr defaultRowHeight="15" x14ac:dyDescent="0.25"/>
  <cols>
    <col min="1" max="1" width="41" customWidth="1"/>
    <col min="2" max="2" width="12.140625" customWidth="1"/>
    <col min="3" max="3" width="29.140625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270</v>
      </c>
      <c r="E1" s="56">
        <v>46251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898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1453.26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1250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396.8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555.26</v>
      </c>
      <c r="C13" s="2" t="s">
        <v>4</v>
      </c>
      <c r="D13" s="50" t="s">
        <v>268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20</v>
      </c>
      <c r="G14" t="s">
        <v>17</v>
      </c>
    </row>
    <row r="15" spans="1:13" ht="15.75" thickBot="1" x14ac:dyDescent="0.3">
      <c r="A15" s="14" t="s">
        <v>18</v>
      </c>
      <c r="B15" s="54">
        <f>B13+E11</f>
        <v>860.26</v>
      </c>
      <c r="C15" s="2" t="s">
        <v>4</v>
      </c>
      <c r="D15" s="17" t="s">
        <v>19</v>
      </c>
      <c r="E15" s="18"/>
      <c r="F15" s="13">
        <v>500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1000</v>
      </c>
      <c r="G16" t="s">
        <v>4</v>
      </c>
    </row>
    <row r="17" spans="1:8" ht="15.75" thickBot="1" x14ac:dyDescent="0.3">
      <c r="A17" s="9" t="s">
        <v>21</v>
      </c>
      <c r="B17" s="11">
        <v>115</v>
      </c>
      <c r="D17" s="21" t="s">
        <v>22</v>
      </c>
      <c r="E17" s="5"/>
      <c r="F17" s="13">
        <v>1500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269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4</v>
      </c>
      <c r="C21" s="57"/>
      <c r="D21" s="22" t="s">
        <v>28</v>
      </c>
      <c r="E21" s="23">
        <f>B9/B11</f>
        <v>3.1502016129032255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23739.945028401726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37.740000000000009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23.069699744606751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35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70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19.774028352520073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3.0342830975233928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19249-E84C-490E-9DF1-07B30F4C43F2}">
  <sheetPr>
    <pageSetUpPr fitToPage="1"/>
  </sheetPr>
  <dimension ref="A1:M39"/>
  <sheetViews>
    <sheetView view="pageBreakPreview" topLeftCell="A7" zoomScale="85" zoomScaleNormal="85" zoomScaleSheetLayoutView="85" workbookViewId="0">
      <selection activeCell="C14" sqref="C14"/>
    </sheetView>
  </sheetViews>
  <sheetFormatPr defaultRowHeight="15" x14ac:dyDescent="0.25"/>
  <cols>
    <col min="1" max="1" width="41" customWidth="1"/>
    <col min="2" max="2" width="12.140625" customWidth="1"/>
    <col min="3" max="3" width="29.140625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267</v>
      </c>
      <c r="E1" s="56">
        <v>46246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821.1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1299.3800000000001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1250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464.01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478.28000000000009</v>
      </c>
      <c r="C13" s="2" t="s">
        <v>4</v>
      </c>
      <c r="D13" s="50" t="s">
        <v>268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20</v>
      </c>
      <c r="G14" t="s">
        <v>17</v>
      </c>
    </row>
    <row r="15" spans="1:13" ht="15.75" thickBot="1" x14ac:dyDescent="0.3">
      <c r="A15" s="14" t="s">
        <v>18</v>
      </c>
      <c r="B15" s="54">
        <f>B13+E11</f>
        <v>783.28000000000009</v>
      </c>
      <c r="C15" s="2" t="s">
        <v>4</v>
      </c>
      <c r="D15" s="17" t="s">
        <v>19</v>
      </c>
      <c r="E15" s="18"/>
      <c r="F15" s="13">
        <v>500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1000</v>
      </c>
      <c r="G16" t="s">
        <v>4</v>
      </c>
    </row>
    <row r="17" spans="1:8" ht="15.75" thickBot="1" x14ac:dyDescent="0.3">
      <c r="A17" s="9" t="s">
        <v>21</v>
      </c>
      <c r="B17" s="11">
        <v>105</v>
      </c>
      <c r="D17" s="21" t="s">
        <v>22</v>
      </c>
      <c r="E17" s="5"/>
      <c r="F17" s="13">
        <v>1500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269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4</v>
      </c>
      <c r="C21" s="57"/>
      <c r="D21" s="22" t="s">
        <v>28</v>
      </c>
      <c r="E21" s="23">
        <f>B9/B11</f>
        <v>2.6939074588909722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23142.927944583367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37.819999999999936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16.565734301307163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25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50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19.878881161568597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3.0182785194167105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FF6A5-CD36-41BD-B7D9-7FB9942354D9}">
  <sheetPr>
    <pageSetUpPr fitToPage="1"/>
  </sheetPr>
  <dimension ref="A1:M39"/>
  <sheetViews>
    <sheetView view="pageBreakPreview" zoomScale="85" zoomScaleNormal="85" zoomScaleSheetLayoutView="85" workbookViewId="0">
      <selection activeCell="C13" sqref="C13"/>
    </sheetView>
  </sheetViews>
  <sheetFormatPr defaultRowHeight="15" x14ac:dyDescent="0.25"/>
  <cols>
    <col min="1" max="1" width="41" customWidth="1"/>
    <col min="2" max="2" width="12.140625" customWidth="1"/>
    <col min="3" max="3" width="29.140625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264</v>
      </c>
      <c r="E1" s="56">
        <v>46245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727.39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1098.95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1000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146.43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371.56000000000006</v>
      </c>
      <c r="C13" s="2" t="s">
        <v>4</v>
      </c>
      <c r="D13" s="50" t="s">
        <v>266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0.5</v>
      </c>
      <c r="G14" t="s">
        <v>17</v>
      </c>
    </row>
    <row r="15" spans="1:13" ht="15.75" thickBot="1" x14ac:dyDescent="0.3">
      <c r="A15" s="14" t="s">
        <v>18</v>
      </c>
      <c r="B15" s="54">
        <f>B13+E11</f>
        <v>676.56000000000006</v>
      </c>
      <c r="C15" s="2" t="s">
        <v>4</v>
      </c>
      <c r="D15" s="17" t="s">
        <v>19</v>
      </c>
      <c r="E15" s="18"/>
      <c r="F15" s="13">
        <v>250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1250</v>
      </c>
      <c r="G16" t="s">
        <v>4</v>
      </c>
    </row>
    <row r="17" spans="1:8" ht="15.75" thickBot="1" x14ac:dyDescent="0.3">
      <c r="A17" s="9" t="s">
        <v>21</v>
      </c>
      <c r="B17" s="11">
        <v>50</v>
      </c>
      <c r="D17" s="21" t="s">
        <v>22</v>
      </c>
      <c r="E17" s="5"/>
      <c r="F17" s="13">
        <v>1500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265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6.829201666325206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1035.0526775965952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50.829999999999927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1.4591127079597799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2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4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21.886690619396699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3.4267400816427021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D677E-16C7-4C3D-BABE-C348624039A0}">
  <sheetPr>
    <pageSetUpPr fitToPage="1"/>
  </sheetPr>
  <dimension ref="A1:M39"/>
  <sheetViews>
    <sheetView view="pageBreakPreview" zoomScale="85" zoomScaleNormal="85" zoomScaleSheetLayoutView="85" workbookViewId="0">
      <selection activeCell="C5" sqref="C5"/>
    </sheetView>
  </sheetViews>
  <sheetFormatPr defaultRowHeight="15" x14ac:dyDescent="0.25"/>
  <cols>
    <col min="1" max="1" width="41" customWidth="1"/>
    <col min="2" max="2" width="12.140625" customWidth="1"/>
    <col min="3" max="3" width="29.140625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262</v>
      </c>
      <c r="E1" s="56">
        <v>46241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482.37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641.12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650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75.98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158.75</v>
      </c>
      <c r="C13" s="2" t="s">
        <v>4</v>
      </c>
      <c r="D13" s="50" t="s">
        <v>261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0.5</v>
      </c>
      <c r="G14" t="s">
        <v>17</v>
      </c>
    </row>
    <row r="15" spans="1:13" ht="15.75" thickBot="1" x14ac:dyDescent="0.3">
      <c r="A15" s="14" t="s">
        <v>18</v>
      </c>
      <c r="B15" s="54">
        <f>B13+E11</f>
        <v>463.75</v>
      </c>
      <c r="C15" s="2" t="s">
        <v>4</v>
      </c>
      <c r="D15" s="17" t="s">
        <v>19</v>
      </c>
      <c r="E15" s="18"/>
      <c r="F15" s="13">
        <v>150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650</v>
      </c>
      <c r="G16" t="s">
        <v>4</v>
      </c>
    </row>
    <row r="17" spans="1:8" ht="15.75" thickBot="1" x14ac:dyDescent="0.3">
      <c r="A17" s="9" t="s">
        <v>21</v>
      </c>
      <c r="B17" s="11">
        <v>60</v>
      </c>
      <c r="D17" s="21" t="s">
        <v>22</v>
      </c>
      <c r="E17" s="5"/>
      <c r="F17" s="13">
        <v>800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263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1</v>
      </c>
      <c r="C21" s="57"/>
      <c r="D21" s="22" t="s">
        <v>28</v>
      </c>
      <c r="E21" s="23">
        <f>B9/B11</f>
        <v>8.5548828639115548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594.90938447384474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18.620000000000005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0.4488550503816417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1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2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13.46565151144925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2.8962579320309914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BB514-46AC-4810-9C02-389286C3FABD}">
  <sheetPr>
    <pageSetUpPr fitToPage="1"/>
  </sheetPr>
  <dimension ref="A1:M39"/>
  <sheetViews>
    <sheetView view="pageBreakPreview" zoomScale="85" zoomScaleNormal="85" zoomScaleSheetLayoutView="85" workbookViewId="0">
      <selection activeCell="C25" sqref="C25"/>
    </sheetView>
  </sheetViews>
  <sheetFormatPr defaultRowHeight="15" x14ac:dyDescent="0.25"/>
  <cols>
    <col min="1" max="1" width="41" customWidth="1"/>
    <col min="2" max="2" width="12.140625" customWidth="1"/>
    <col min="3" max="3" width="29.140625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259</v>
      </c>
      <c r="E1" s="56">
        <v>46239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584.27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828.75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800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147.19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244.48000000000002</v>
      </c>
      <c r="C13" s="2" t="s">
        <v>4</v>
      </c>
      <c r="D13" s="50" t="s">
        <v>261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0.5</v>
      </c>
      <c r="G14" t="s">
        <v>17</v>
      </c>
    </row>
    <row r="15" spans="1:13" ht="15.75" thickBot="1" x14ac:dyDescent="0.3">
      <c r="A15" s="14" t="s">
        <v>18</v>
      </c>
      <c r="B15" s="54">
        <f>B13+E11</f>
        <v>549.48</v>
      </c>
      <c r="C15" s="2" t="s">
        <v>4</v>
      </c>
      <c r="D15" s="17" t="s">
        <v>19</v>
      </c>
      <c r="E15" s="18"/>
      <c r="F15" s="13">
        <v>250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800</v>
      </c>
      <c r="G16" t="s">
        <v>4</v>
      </c>
    </row>
    <row r="17" spans="1:8" ht="15.75" thickBot="1" x14ac:dyDescent="0.3">
      <c r="A17" s="9" t="s">
        <v>21</v>
      </c>
      <c r="B17" s="11">
        <v>60</v>
      </c>
      <c r="D17" s="21" t="s">
        <v>22</v>
      </c>
      <c r="E17" s="5"/>
      <c r="F17" s="13">
        <v>1050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260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1</v>
      </c>
      <c r="C21" s="57"/>
      <c r="D21" s="22" t="s">
        <v>28</v>
      </c>
      <c r="E21" s="23">
        <f>B9/B11</f>
        <v>5.4351518445546576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936.38232093081024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34.789999999999964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0.69125091475466938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1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2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20.737527442640083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2.3146443148908569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CE2DB-870F-441B-B361-6501ADDFF57A}">
  <sheetPr>
    <pageSetUpPr fitToPage="1"/>
  </sheetPr>
  <dimension ref="A1:M39"/>
  <sheetViews>
    <sheetView view="pageBreakPreview" zoomScale="85" zoomScaleNormal="85" zoomScaleSheetLayoutView="85" workbookViewId="0">
      <selection activeCell="F24" sqref="F24"/>
    </sheetView>
  </sheetViews>
  <sheetFormatPr defaultRowHeight="15" x14ac:dyDescent="0.25"/>
  <cols>
    <col min="1" max="1" width="41" customWidth="1"/>
    <col min="2" max="2" width="12.140625" customWidth="1"/>
    <col min="3" max="3" width="29.140625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257</v>
      </c>
      <c r="E1" s="56">
        <v>46237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739.23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1122.3699999999999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1050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381.2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383.13999999999987</v>
      </c>
      <c r="C13" s="2" t="s">
        <v>4</v>
      </c>
      <c r="D13" s="50" t="s">
        <v>258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5</v>
      </c>
      <c r="G14" t="s">
        <v>17</v>
      </c>
    </row>
    <row r="15" spans="1:13" ht="15.75" thickBot="1" x14ac:dyDescent="0.3">
      <c r="A15" s="14" t="s">
        <v>18</v>
      </c>
      <c r="B15" s="54">
        <f>B13+E11</f>
        <v>688.13999999999987</v>
      </c>
      <c r="C15" s="2" t="s">
        <v>4</v>
      </c>
      <c r="D15" s="17" t="s">
        <v>19</v>
      </c>
      <c r="E15" s="18"/>
      <c r="F15" s="13">
        <v>450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850</v>
      </c>
      <c r="G16" t="s">
        <v>4</v>
      </c>
    </row>
    <row r="17" spans="1:8" ht="15.75" thickBot="1" x14ac:dyDescent="0.3">
      <c r="A17" s="9" t="s">
        <v>21</v>
      </c>
      <c r="B17" s="11">
        <v>90</v>
      </c>
      <c r="D17" s="21" t="s">
        <v>22</v>
      </c>
      <c r="E17" s="5"/>
      <c r="F17" s="13">
        <v>1300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169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4</v>
      </c>
      <c r="C21" s="57"/>
      <c r="D21" s="22" t="s">
        <v>28</v>
      </c>
      <c r="E21" s="23">
        <f>B9/B11</f>
        <v>2.7544596012591818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16629.185945729612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51.090000000000146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9.7497254553007835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9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18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32.499084851002614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1.5692749575508931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AE6EC-BC03-42A3-8D78-46C6BB7AAE14}">
  <sheetPr>
    <pageSetUpPr fitToPage="1"/>
  </sheetPr>
  <dimension ref="A1:M39"/>
  <sheetViews>
    <sheetView view="pageBreakPreview" zoomScale="85" zoomScaleNormal="85" zoomScaleSheetLayoutView="85" workbookViewId="0">
      <selection activeCell="D23" sqref="D23"/>
    </sheetView>
  </sheetViews>
  <sheetFormatPr defaultRowHeight="15" x14ac:dyDescent="0.25"/>
  <cols>
    <col min="1" max="1" width="41" customWidth="1"/>
    <col min="2" max="2" width="12.140625" customWidth="1"/>
    <col min="3" max="3" width="29.140625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254</v>
      </c>
      <c r="E1" s="56">
        <v>46233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498.77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684.02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600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106.33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185.25</v>
      </c>
      <c r="C13" s="2" t="s">
        <v>4</v>
      </c>
      <c r="D13" s="50" t="s">
        <v>256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1</v>
      </c>
      <c r="G14" t="s">
        <v>17</v>
      </c>
    </row>
    <row r="15" spans="1:13" ht="15.75" thickBot="1" x14ac:dyDescent="0.3">
      <c r="A15" s="14" t="s">
        <v>18</v>
      </c>
      <c r="B15" s="54">
        <f>B13+E11</f>
        <v>490.25</v>
      </c>
      <c r="C15" s="2" t="s">
        <v>4</v>
      </c>
      <c r="D15" s="17" t="s">
        <v>19</v>
      </c>
      <c r="E15" s="18"/>
      <c r="F15" s="13">
        <v>250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750</v>
      </c>
      <c r="G16" t="s">
        <v>4</v>
      </c>
    </row>
    <row r="17" spans="1:8" ht="15.75" thickBot="1" x14ac:dyDescent="0.3">
      <c r="A17" s="9" t="s">
        <v>21</v>
      </c>
      <c r="B17" s="11">
        <v>90</v>
      </c>
      <c r="D17" s="21" t="s">
        <v>22</v>
      </c>
      <c r="E17" s="5"/>
      <c r="F17" s="13">
        <v>1000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255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1</v>
      </c>
      <c r="C21" s="57"/>
      <c r="D21" s="22" t="s">
        <v>28</v>
      </c>
      <c r="E21" s="23">
        <f>B9/B11</f>
        <v>5.6428101194394813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2029.3266971514311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8.5199999999999818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1.1785095791319562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1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2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35.355287373958689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1.2727940668117783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ED43A-3980-43B1-87C5-512D6009A86B}">
  <sheetPr>
    <pageSetUpPr fitToPage="1"/>
  </sheetPr>
  <dimension ref="A1:M39"/>
  <sheetViews>
    <sheetView view="pageBreakPreview" zoomScale="85" zoomScaleNormal="85" zoomScaleSheetLayoutView="85" workbookViewId="0">
      <selection activeCell="A26" sqref="A26"/>
    </sheetView>
  </sheetViews>
  <sheetFormatPr defaultRowHeight="15" x14ac:dyDescent="0.25"/>
  <cols>
    <col min="1" max="1" width="41" customWidth="1"/>
    <col min="2" max="2" width="12.140625" customWidth="1"/>
    <col min="3" max="3" width="28.71093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251</v>
      </c>
      <c r="E1" s="56">
        <v>46231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601.42999999999995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883.9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725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210.68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282.47000000000003</v>
      </c>
      <c r="C13" s="2" t="s">
        <v>4</v>
      </c>
      <c r="D13" s="50" t="s">
        <v>253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5</v>
      </c>
      <c r="G14" t="s">
        <v>17</v>
      </c>
    </row>
    <row r="15" spans="1:13" ht="15.75" thickBot="1" x14ac:dyDescent="0.3">
      <c r="A15" s="14" t="s">
        <v>18</v>
      </c>
      <c r="B15" s="54">
        <f>B13+E11</f>
        <v>587.47</v>
      </c>
      <c r="C15" s="2" t="s">
        <v>4</v>
      </c>
      <c r="D15" s="17" t="s">
        <v>19</v>
      </c>
      <c r="E15" s="18"/>
      <c r="F15" s="13">
        <v>500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800</v>
      </c>
      <c r="G16" t="s">
        <v>4</v>
      </c>
    </row>
    <row r="17" spans="1:8" ht="15.75" thickBot="1" x14ac:dyDescent="0.3">
      <c r="A17" s="9" t="s">
        <v>21</v>
      </c>
      <c r="B17" s="11">
        <v>90</v>
      </c>
      <c r="D17" s="21" t="s">
        <v>22</v>
      </c>
      <c r="E17" s="5"/>
      <c r="F17" s="13">
        <v>1300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252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3.4412378963356747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6655.2244089420547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13.959999999999923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3.5939929912810116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7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14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15.402827105490049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3.1163110298687502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3B1C-751D-4C59-82EB-F5F11BE2DBDA}">
  <sheetPr>
    <pageSetUpPr fitToPage="1"/>
  </sheetPr>
  <dimension ref="A1:M39"/>
  <sheetViews>
    <sheetView view="pageBreakPreview" zoomScale="85" zoomScaleNormal="85" zoomScaleSheetLayoutView="85" workbookViewId="0">
      <selection activeCell="D8" sqref="D8"/>
    </sheetView>
  </sheetViews>
  <sheetFormatPr defaultRowHeight="15" x14ac:dyDescent="0.25"/>
  <cols>
    <col min="1" max="1" width="41" customWidth="1"/>
    <col min="2" max="2" width="12.140625" customWidth="1"/>
    <col min="3" max="3" width="28.71093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247</v>
      </c>
      <c r="E1" s="56">
        <v>46220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656.14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998.34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860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164.9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342.20000000000005</v>
      </c>
      <c r="C13" s="2" t="s">
        <v>4</v>
      </c>
      <c r="D13" s="50" t="s">
        <v>249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1</v>
      </c>
      <c r="G14" t="s">
        <v>17</v>
      </c>
    </row>
    <row r="15" spans="1:13" ht="15.75" thickBot="1" x14ac:dyDescent="0.3">
      <c r="A15" s="14" t="s">
        <v>18</v>
      </c>
      <c r="B15" s="54">
        <f>B13+E11</f>
        <v>647.20000000000005</v>
      </c>
      <c r="C15" s="2" t="s">
        <v>4</v>
      </c>
      <c r="D15" s="17" t="s">
        <v>19</v>
      </c>
      <c r="E15" s="18"/>
      <c r="F15" s="13">
        <v>380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1100</v>
      </c>
      <c r="G16" t="s">
        <v>4</v>
      </c>
    </row>
    <row r="17" spans="1:8" ht="15.75" thickBot="1" x14ac:dyDescent="0.3">
      <c r="A17" s="9" t="s">
        <v>21</v>
      </c>
      <c r="B17" s="11">
        <v>70</v>
      </c>
      <c r="D17" s="21" t="s">
        <v>22</v>
      </c>
      <c r="E17" s="5"/>
      <c r="F17" s="13">
        <v>1480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248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1</v>
      </c>
      <c r="C21" s="57"/>
      <c r="D21" s="22" t="s">
        <v>28</v>
      </c>
      <c r="E21" s="23">
        <f>B9/B11</f>
        <v>5.2152819890842936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1328.2525883862672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8.9399999999999409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1.3169399324215738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5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10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7.9016395945294429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8.3526968308822784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A9B61-52FB-45E7-932C-AE6699BFA426}">
  <sheetPr>
    <pageSetUpPr fitToPage="1"/>
  </sheetPr>
  <dimension ref="A1:M39"/>
  <sheetViews>
    <sheetView view="pageBreakPreview" zoomScale="85" zoomScaleNormal="85" zoomScaleSheetLayoutView="85" workbookViewId="0">
      <selection activeCell="D14" sqref="D14"/>
    </sheetView>
  </sheetViews>
  <sheetFormatPr defaultRowHeight="15" x14ac:dyDescent="0.25"/>
  <cols>
    <col min="1" max="1" width="41" customWidth="1"/>
    <col min="2" max="2" width="12.140625" customWidth="1"/>
    <col min="3" max="3" width="28.71093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247</v>
      </c>
      <c r="E1" s="56">
        <v>46220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656.14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998.34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860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164.9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342.20000000000005</v>
      </c>
      <c r="C13" s="2" t="s">
        <v>4</v>
      </c>
      <c r="D13" s="50" t="s">
        <v>250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3</v>
      </c>
      <c r="G14" t="s">
        <v>17</v>
      </c>
    </row>
    <row r="15" spans="1:13" ht="15.75" thickBot="1" x14ac:dyDescent="0.3">
      <c r="A15" s="14" t="s">
        <v>18</v>
      </c>
      <c r="B15" s="54">
        <f>B13+E11</f>
        <v>647.20000000000005</v>
      </c>
      <c r="C15" s="2" t="s">
        <v>4</v>
      </c>
      <c r="D15" s="17" t="s">
        <v>19</v>
      </c>
      <c r="E15" s="18"/>
      <c r="F15" s="13">
        <v>380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1100</v>
      </c>
      <c r="G16" t="s">
        <v>4</v>
      </c>
    </row>
    <row r="17" spans="1:8" ht="15.75" thickBot="1" x14ac:dyDescent="0.3">
      <c r="A17" s="9" t="s">
        <v>21</v>
      </c>
      <c r="B17" s="11">
        <v>110</v>
      </c>
      <c r="D17" s="21" t="s">
        <v>22</v>
      </c>
      <c r="E17" s="5"/>
      <c r="F17" s="13">
        <v>1480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248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1</v>
      </c>
      <c r="C21" s="57"/>
      <c r="D21" s="22" t="s">
        <v>28</v>
      </c>
      <c r="E21" s="23">
        <f>B9/B11</f>
        <v>5.2152819890842936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3279.9706774436404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8.9399999999999409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3.2520353433267428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14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28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6.9686471642715917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9.4709917784880062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85115-DF6E-424D-88E9-EF36F1135F0F}">
  <sheetPr>
    <pageSetUpPr fitToPage="1"/>
  </sheetPr>
  <dimension ref="A1:M39"/>
  <sheetViews>
    <sheetView view="pageBreakPreview" zoomScale="85" zoomScaleNormal="85" zoomScaleSheetLayoutView="85" workbookViewId="0">
      <selection activeCell="C3" sqref="C3"/>
    </sheetView>
  </sheetViews>
  <sheetFormatPr defaultRowHeight="15" x14ac:dyDescent="0.25"/>
  <cols>
    <col min="1" max="1" width="41" customWidth="1"/>
    <col min="2" max="2" width="12.140625" customWidth="1"/>
    <col min="3" max="3" width="28.71093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246</v>
      </c>
      <c r="E1" s="56">
        <v>46219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706.3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1080.77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1200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391.31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374.47</v>
      </c>
      <c r="C13" s="2" t="s">
        <v>4</v>
      </c>
      <c r="D13" s="50" t="s">
        <v>244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1.5</v>
      </c>
      <c r="G14" t="s">
        <v>17</v>
      </c>
    </row>
    <row r="15" spans="1:13" ht="15.75" thickBot="1" x14ac:dyDescent="0.3">
      <c r="A15" s="14" t="s">
        <v>18</v>
      </c>
      <c r="B15" s="54">
        <f>B13+E11</f>
        <v>679.47</v>
      </c>
      <c r="C15" s="2" t="s">
        <v>4</v>
      </c>
      <c r="D15" s="17" t="s">
        <v>19</v>
      </c>
      <c r="E15" s="18"/>
      <c r="F15" s="13">
        <v>500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800</v>
      </c>
      <c r="G16" t="s">
        <v>4</v>
      </c>
    </row>
    <row r="17" spans="1:8" ht="15.75" thickBot="1" x14ac:dyDescent="0.3">
      <c r="A17" s="9" t="s">
        <v>21</v>
      </c>
      <c r="B17" s="11">
        <v>80</v>
      </c>
      <c r="D17" s="21" t="s">
        <v>22</v>
      </c>
      <c r="E17" s="5"/>
      <c r="F17" s="13">
        <v>1300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245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1</v>
      </c>
      <c r="C21" s="57"/>
      <c r="D21" s="22" t="s">
        <v>28</v>
      </c>
      <c r="E21" s="23">
        <f>B9/B11</f>
        <v>3.0666223710101965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2950.4078910629328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26.829999999999927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1.8822915215836322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4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8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14.117186411877242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3.4001109427595333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4EC6-7236-4692-9AAB-D0326C9DD065}">
  <sheetPr>
    <pageSetUpPr fitToPage="1"/>
  </sheetPr>
  <dimension ref="A1:M39"/>
  <sheetViews>
    <sheetView view="pageBreakPreview" topLeftCell="A7" zoomScale="85" zoomScaleNormal="85" zoomScaleSheetLayoutView="85" workbookViewId="0">
      <selection activeCell="C11" sqref="C11"/>
    </sheetView>
  </sheetViews>
  <sheetFormatPr defaultRowHeight="15" x14ac:dyDescent="0.25"/>
  <cols>
    <col min="1" max="1" width="41" customWidth="1"/>
    <col min="2" max="2" width="12.140625" customWidth="1"/>
    <col min="3" max="3" width="28.71093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241</v>
      </c>
      <c r="E1" s="56">
        <v>46219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632.29999999999995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900.46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1200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428.86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268.16000000000008</v>
      </c>
      <c r="C13" s="2" t="s">
        <v>4</v>
      </c>
      <c r="D13" s="50" t="s">
        <v>243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0.8</v>
      </c>
      <c r="G14" t="s">
        <v>17</v>
      </c>
    </row>
    <row r="15" spans="1:13" ht="15.75" thickBot="1" x14ac:dyDescent="0.3">
      <c r="A15" s="14" t="s">
        <v>18</v>
      </c>
      <c r="B15" s="54">
        <f>B13+E11</f>
        <v>573.16000000000008</v>
      </c>
      <c r="C15" s="2" t="s">
        <v>4</v>
      </c>
      <c r="D15" s="17" t="s">
        <v>19</v>
      </c>
      <c r="E15" s="18"/>
      <c r="F15" s="13">
        <v>450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550</v>
      </c>
      <c r="G16" t="s">
        <v>4</v>
      </c>
    </row>
    <row r="17" spans="1:8" ht="15.75" thickBot="1" x14ac:dyDescent="0.3">
      <c r="A17" s="9" t="s">
        <v>21</v>
      </c>
      <c r="B17" s="11">
        <v>60</v>
      </c>
      <c r="D17" s="21" t="s">
        <v>22</v>
      </c>
      <c r="E17" s="5"/>
      <c r="F17" s="13">
        <f>550+450</f>
        <v>1000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242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1</v>
      </c>
      <c r="C21" s="57"/>
      <c r="D21" s="22" t="s">
        <v>28</v>
      </c>
      <c r="E21" s="23">
        <f>B9/B11</f>
        <v>2.7981159352702512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1818.8596243150002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59.139999999999873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0.75820453738797522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2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4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11.373068060819628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2.9015917097766648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3CEC-D9B3-4DD5-A83E-09C8C3A22B75}">
  <sheetPr>
    <pageSetUpPr fitToPage="1"/>
  </sheetPr>
  <dimension ref="A1:M39"/>
  <sheetViews>
    <sheetView view="pageBreakPreview" zoomScale="85" zoomScaleNormal="85" zoomScaleSheetLayoutView="85" workbookViewId="0">
      <selection activeCell="B32" sqref="B32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238</v>
      </c>
      <c r="E1" s="56">
        <v>46217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537.62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744.01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850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133.35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206.39</v>
      </c>
      <c r="C13" s="2" t="s">
        <v>4</v>
      </c>
      <c r="D13" s="50" t="s">
        <v>240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0.3</v>
      </c>
      <c r="G14" t="s">
        <v>17</v>
      </c>
    </row>
    <row r="15" spans="1:13" ht="15.75" thickBot="1" x14ac:dyDescent="0.3">
      <c r="A15" s="14" t="s">
        <v>18</v>
      </c>
      <c r="B15" s="54">
        <f>B13+E11</f>
        <v>511.39</v>
      </c>
      <c r="C15" s="2" t="s">
        <v>4</v>
      </c>
      <c r="D15" s="17" t="s">
        <v>19</v>
      </c>
      <c r="E15" s="18"/>
      <c r="F15" s="13">
        <v>200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630</v>
      </c>
      <c r="G16" t="s">
        <v>4</v>
      </c>
    </row>
    <row r="17" spans="1:8" ht="15.75" thickBot="1" x14ac:dyDescent="0.3">
      <c r="A17" s="9" t="s">
        <v>21</v>
      </c>
      <c r="B17" s="11">
        <v>50</v>
      </c>
      <c r="D17" s="21" t="s">
        <v>22</v>
      </c>
      <c r="E17" s="5"/>
      <c r="F17" s="13">
        <v>830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239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1</v>
      </c>
      <c r="C21" s="57"/>
      <c r="D21" s="22" t="s">
        <v>28</v>
      </c>
      <c r="E21" s="23">
        <f>B9/B11</f>
        <v>6.3742032245969256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554.46800341261621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26.230000000000018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0.40524581735899839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1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2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12.157374520769952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3.1092239476065791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A70C8-7F3F-4771-97AF-3110E4F61085}">
  <sheetPr>
    <pageSetUpPr fitToPage="1"/>
  </sheetPr>
  <dimension ref="A1:M39"/>
  <sheetViews>
    <sheetView view="pageBreakPreview" zoomScale="85" zoomScaleNormal="85" zoomScaleSheetLayoutView="85" workbookViewId="0">
      <selection activeCell="A18" sqref="A18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237</v>
      </c>
      <c r="E1" s="56">
        <v>46212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696.44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1078.46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850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280.7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382.02</v>
      </c>
      <c r="C13" s="2" t="s">
        <v>4</v>
      </c>
      <c r="D13" s="50" t="s">
        <v>236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3.5</v>
      </c>
      <c r="G14" t="s">
        <v>17</v>
      </c>
    </row>
    <row r="15" spans="1:13" ht="15.75" thickBot="1" x14ac:dyDescent="0.3">
      <c r="A15" s="14" t="s">
        <v>18</v>
      </c>
      <c r="B15" s="54">
        <f>B13+E11</f>
        <v>687.02</v>
      </c>
      <c r="C15" s="2" t="s">
        <v>4</v>
      </c>
      <c r="D15" s="17" t="s">
        <v>19</v>
      </c>
      <c r="E15" s="18"/>
      <c r="F15" s="13">
        <v>525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1000</v>
      </c>
      <c r="G16" t="s">
        <v>4</v>
      </c>
    </row>
    <row r="17" spans="1:8" ht="15.75" thickBot="1" x14ac:dyDescent="0.3">
      <c r="A17" s="9" t="s">
        <v>21</v>
      </c>
      <c r="B17" s="11">
        <v>100</v>
      </c>
      <c r="D17" s="21" t="s">
        <v>22</v>
      </c>
      <c r="E17" s="5"/>
      <c r="F17" s="13">
        <v>1525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235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1</v>
      </c>
      <c r="C21" s="57"/>
      <c r="D21" s="22" t="s">
        <v>28</v>
      </c>
      <c r="E21" s="23">
        <f>B9/B11</f>
        <v>3.0281439258995371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4668.5914828022906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9.4200000000000728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3.0003780638109321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0.5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1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180.02268382865591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0.33329133153634954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28CD9-918F-44C8-A4C4-49D73EEFFC1E}">
  <sheetPr>
    <pageSetUpPr fitToPage="1"/>
  </sheetPr>
  <dimension ref="A1:M39"/>
  <sheetViews>
    <sheetView view="pageBreakPreview" zoomScale="85" zoomScaleNormal="85" zoomScaleSheetLayoutView="85" workbookViewId="0">
      <selection activeCell="C9" sqref="C9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234</v>
      </c>
      <c r="E1" s="56">
        <v>46212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696.44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1078.46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850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280.7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382.02</v>
      </c>
      <c r="C13" s="2" t="s">
        <v>4</v>
      </c>
      <c r="D13" s="50" t="s">
        <v>236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3.5</v>
      </c>
      <c r="G14" t="s">
        <v>17</v>
      </c>
    </row>
    <row r="15" spans="1:13" ht="15.75" thickBot="1" x14ac:dyDescent="0.3">
      <c r="A15" s="14" t="s">
        <v>18</v>
      </c>
      <c r="B15" s="54">
        <f>B13+E11</f>
        <v>687.02</v>
      </c>
      <c r="C15" s="2" t="s">
        <v>4</v>
      </c>
      <c r="D15" s="17" t="s">
        <v>19</v>
      </c>
      <c r="E15" s="18"/>
      <c r="F15" s="13">
        <v>525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1000</v>
      </c>
      <c r="G16" t="s">
        <v>4</v>
      </c>
    </row>
    <row r="17" spans="1:8" ht="15.75" thickBot="1" x14ac:dyDescent="0.3">
      <c r="A17" s="9" t="s">
        <v>21</v>
      </c>
      <c r="B17" s="11">
        <v>100</v>
      </c>
      <c r="D17" s="21" t="s">
        <v>22</v>
      </c>
      <c r="E17" s="5"/>
      <c r="F17" s="13">
        <v>1525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235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1</v>
      </c>
      <c r="C21" s="57"/>
      <c r="D21" s="22" t="s">
        <v>28</v>
      </c>
      <c r="E21" s="23">
        <f>B9/B11</f>
        <v>3.0281439258995371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4668.5914828022906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9.4200000000000728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3.0003780638109321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0.5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1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180.02268382865591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0.33329133153634954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220EA-57FF-4CDE-B6A3-674310A9C7DA}">
  <sheetPr>
    <pageSetUpPr fitToPage="1"/>
  </sheetPr>
  <dimension ref="A1:M39"/>
  <sheetViews>
    <sheetView view="pageBreakPreview" zoomScale="85" zoomScaleNormal="85" zoomScaleSheetLayoutView="85" workbookViewId="0">
      <selection activeCell="A17" sqref="A17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232</v>
      </c>
      <c r="E1" s="56">
        <v>46212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869.6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1370.77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1100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249.93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501.16999999999996</v>
      </c>
      <c r="C13" s="2" t="s">
        <v>4</v>
      </c>
      <c r="D13" s="50" t="s">
        <v>233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0.35</v>
      </c>
      <c r="G14" t="s">
        <v>17</v>
      </c>
    </row>
    <row r="15" spans="1:13" ht="15.75" thickBot="1" x14ac:dyDescent="0.3">
      <c r="A15" s="14" t="s">
        <v>18</v>
      </c>
      <c r="B15" s="54">
        <f>B13+E11</f>
        <v>806.17</v>
      </c>
      <c r="C15" s="2" t="s">
        <v>4</v>
      </c>
      <c r="D15" s="17" t="s">
        <v>19</v>
      </c>
      <c r="E15" s="18"/>
      <c r="F15" s="13">
        <v>546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1444.9</v>
      </c>
      <c r="G16" t="s">
        <v>4</v>
      </c>
    </row>
    <row r="17" spans="1:8" ht="15.75" thickBot="1" x14ac:dyDescent="0.3">
      <c r="A17" s="9" t="s">
        <v>21</v>
      </c>
      <c r="B17" s="11">
        <v>50</v>
      </c>
      <c r="D17" s="21" t="s">
        <v>22</v>
      </c>
      <c r="E17" s="5"/>
      <c r="F17" s="13">
        <v>1990.9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231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1</v>
      </c>
      <c r="C21" s="57"/>
      <c r="D21" s="22" t="s">
        <v>28</v>
      </c>
      <c r="E21" s="23">
        <f>B9/B11</f>
        <v>4.4012323450566155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803.0232121824173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63.430000000000064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0.98404499387474786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3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6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9.8404499387474775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8.8099630138492095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F7D62-5C92-4780-B1E2-001A2F57E630}">
  <sheetPr>
    <pageSetUpPr fitToPage="1"/>
  </sheetPr>
  <dimension ref="A1:M39"/>
  <sheetViews>
    <sheetView view="pageBreakPreview" zoomScale="85" zoomScaleNormal="85" zoomScaleSheetLayoutView="85" workbookViewId="0">
      <selection activeCell="D9" sqref="D9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229</v>
      </c>
      <c r="E1" s="56">
        <v>46210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539.54999999999995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759.92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600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249.93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220.37</v>
      </c>
      <c r="C13" s="2" t="s">
        <v>4</v>
      </c>
      <c r="D13" s="50" t="s">
        <v>230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20</v>
      </c>
      <c r="G14" t="s">
        <v>17</v>
      </c>
    </row>
    <row r="15" spans="1:13" ht="15.75" thickBot="1" x14ac:dyDescent="0.3">
      <c r="A15" s="14" t="s">
        <v>18</v>
      </c>
      <c r="B15" s="54">
        <f>B13+E11</f>
        <v>525.37</v>
      </c>
      <c r="C15" s="2" t="s">
        <v>4</v>
      </c>
      <c r="D15" s="17" t="s">
        <v>19</v>
      </c>
      <c r="E15" s="18"/>
      <c r="F15" s="13">
        <v>500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500</v>
      </c>
      <c r="G16" t="s">
        <v>4</v>
      </c>
    </row>
    <row r="17" spans="1:8" ht="15.75" thickBot="1" x14ac:dyDescent="0.3">
      <c r="A17" s="9" t="s">
        <v>21</v>
      </c>
      <c r="B17" s="11">
        <v>100</v>
      </c>
      <c r="D17" s="21" t="s">
        <v>22</v>
      </c>
      <c r="E17" s="5"/>
      <c r="F17" s="13">
        <v>1000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231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4</v>
      </c>
      <c r="C21" s="57"/>
      <c r="D21" s="22" t="s">
        <v>28</v>
      </c>
      <c r="E21" s="23">
        <f>B9/B11</f>
        <v>2.4006721882126993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23555.347557350909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14.17999999999995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6.9231277307158274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25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50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8.3077532768589926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3.6110846097902467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5134F-892E-4AEB-B4BE-7FE110334731}">
  <sheetPr>
    <pageSetUpPr fitToPage="1"/>
  </sheetPr>
  <dimension ref="A1:M39"/>
  <sheetViews>
    <sheetView view="pageBreakPreview" topLeftCell="A16" zoomScale="85" zoomScaleNormal="85" zoomScaleSheetLayoutView="85" workbookViewId="0">
      <selection activeCell="C4" sqref="C4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226</v>
      </c>
      <c r="E1" s="56">
        <v>46210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689.17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1056.93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875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187.34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367.7600000000001</v>
      </c>
      <c r="C13" s="2" t="s">
        <v>4</v>
      </c>
      <c r="D13" s="50" t="s">
        <v>228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1.2</v>
      </c>
      <c r="G14" t="s">
        <v>17</v>
      </c>
    </row>
    <row r="15" spans="1:13" ht="15.75" thickBot="1" x14ac:dyDescent="0.3">
      <c r="A15" s="14" t="s">
        <v>18</v>
      </c>
      <c r="B15" s="54">
        <f>B13+E11</f>
        <v>672.7600000000001</v>
      </c>
      <c r="C15" s="2" t="s">
        <v>4</v>
      </c>
      <c r="D15" s="17" t="s">
        <v>19</v>
      </c>
      <c r="E15" s="18"/>
      <c r="F15" s="13">
        <v>250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1250</v>
      </c>
      <c r="G16" t="s">
        <v>4</v>
      </c>
    </row>
    <row r="17" spans="1:8" ht="15.75" thickBot="1" x14ac:dyDescent="0.3">
      <c r="A17" s="9" t="s">
        <v>21</v>
      </c>
      <c r="B17" s="11">
        <v>70</v>
      </c>
      <c r="D17" s="21" t="s">
        <v>22</v>
      </c>
      <c r="E17" s="5"/>
      <c r="F17" s="13">
        <v>1500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227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1</v>
      </c>
      <c r="C21" s="57"/>
      <c r="D21" s="22" t="s">
        <v>28</v>
      </c>
      <c r="E21" s="23">
        <f>B9/B11</f>
        <v>4.6706522899540941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1483.1358386632498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16.409999999999854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1.4153063399981241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2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4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21.22959509997186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3.5328040712420092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C4213-9FC1-439F-B8F4-2A296732BF0B}">
  <sheetPr>
    <pageSetUpPr fitToPage="1"/>
  </sheetPr>
  <dimension ref="A1:M39"/>
  <sheetViews>
    <sheetView view="pageBreakPreview" zoomScale="85" zoomScaleNormal="85" zoomScaleSheetLayoutView="85" workbookViewId="0">
      <selection activeCell="C8" sqref="C8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223</v>
      </c>
      <c r="E1" s="56">
        <v>46210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545.38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775.24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600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239.96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229.86</v>
      </c>
      <c r="C13" s="2" t="s">
        <v>4</v>
      </c>
      <c r="D13" s="50" t="s">
        <v>225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0.1</v>
      </c>
      <c r="G14" t="s">
        <v>17</v>
      </c>
    </row>
    <row r="15" spans="1:13" ht="15.75" thickBot="1" x14ac:dyDescent="0.3">
      <c r="A15" s="14" t="s">
        <v>18</v>
      </c>
      <c r="B15" s="54">
        <f>B13+E11</f>
        <v>534.86</v>
      </c>
      <c r="C15" s="2" t="s">
        <v>4</v>
      </c>
      <c r="D15" s="17" t="s">
        <v>19</v>
      </c>
      <c r="E15" s="18"/>
      <c r="F15" s="13">
        <v>500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550</v>
      </c>
      <c r="G16" t="s">
        <v>4</v>
      </c>
    </row>
    <row r="17" spans="1:8" ht="15.75" thickBot="1" x14ac:dyDescent="0.3">
      <c r="A17" s="9" t="s">
        <v>21</v>
      </c>
      <c r="B17" s="11">
        <v>40</v>
      </c>
      <c r="D17" s="21" t="s">
        <v>22</v>
      </c>
      <c r="E17" s="5"/>
      <c r="F17" s="13">
        <v>1050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224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1</v>
      </c>
      <c r="C21" s="57"/>
      <c r="D21" s="22" t="s">
        <v>28</v>
      </c>
      <c r="E21" s="23">
        <f>B9/B11</f>
        <v>2.5004167361226872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904.62788778648815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10.519999999999982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0.28885059494165999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0.5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1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17.331035696499601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1.9040985534791268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1F4D-7ADE-42C8-AE97-6EEA4DED8F46}">
  <sheetPr>
    <pageSetUpPr fitToPage="1"/>
  </sheetPr>
  <dimension ref="A1:M39"/>
  <sheetViews>
    <sheetView view="pageBreakPreview" zoomScale="85" zoomScaleNormal="85" zoomScaleSheetLayoutView="85" workbookViewId="0">
      <selection activeCell="C17" sqref="C17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220</v>
      </c>
      <c r="E1" s="56">
        <v>46204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731.68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1132.44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1100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407.18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400.7600000000001</v>
      </c>
      <c r="C13" s="2" t="s">
        <v>4</v>
      </c>
      <c r="D13" s="50" t="s">
        <v>222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2</v>
      </c>
      <c r="G14" t="s">
        <v>17</v>
      </c>
    </row>
    <row r="15" spans="1:13" ht="15.75" thickBot="1" x14ac:dyDescent="0.3">
      <c r="A15" s="14" t="s">
        <v>18</v>
      </c>
      <c r="B15" s="54">
        <f>B13+E11</f>
        <v>705.7600000000001</v>
      </c>
      <c r="C15" s="2" t="s">
        <v>4</v>
      </c>
      <c r="D15" s="17" t="s">
        <v>19</v>
      </c>
      <c r="E15" s="18"/>
      <c r="F15" s="13">
        <v>450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850</v>
      </c>
      <c r="G16" t="s">
        <v>4</v>
      </c>
    </row>
    <row r="17" spans="1:8" ht="15.75" thickBot="1" x14ac:dyDescent="0.3">
      <c r="A17" s="9" t="s">
        <v>21</v>
      </c>
      <c r="B17" s="11">
        <v>70</v>
      </c>
      <c r="D17" s="21" t="s">
        <v>22</v>
      </c>
      <c r="E17" s="5"/>
      <c r="F17" s="13">
        <v>1300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221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1</v>
      </c>
      <c r="C21" s="57"/>
      <c r="D21" s="22" t="s">
        <v>28</v>
      </c>
      <c r="E21" s="23">
        <f>B9/B11</f>
        <v>2.7015079326096565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2564.2019101805145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25.919999999999845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1.5423052230194914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3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6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15.423052230194912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3.3067384612854593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F090E-2925-4845-AD86-3A2E53ADEDEB}">
  <sheetPr>
    <pageSetUpPr fitToPage="1"/>
  </sheetPr>
  <dimension ref="A1:M39"/>
  <sheetViews>
    <sheetView view="pageBreakPreview" zoomScale="85" zoomScaleNormal="85" zoomScaleSheetLayoutView="85" workbookViewId="0">
      <selection activeCell="C6" sqref="C6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217</v>
      </c>
      <c r="E1" s="56">
        <v>46197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707.84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1090.6199999999999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1250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882.3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382.77999999999986</v>
      </c>
      <c r="C13" s="2" t="s">
        <v>4</v>
      </c>
      <c r="D13" s="50" t="s">
        <v>219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2.8149999999999999</v>
      </c>
      <c r="G14" t="s">
        <v>17</v>
      </c>
    </row>
    <row r="15" spans="1:13" ht="15.75" thickBot="1" x14ac:dyDescent="0.3">
      <c r="A15" s="14" t="s">
        <v>18</v>
      </c>
      <c r="B15" s="54">
        <f>B13+E11</f>
        <v>687.77999999999986</v>
      </c>
      <c r="C15" s="2" t="s">
        <v>4</v>
      </c>
      <c r="D15" s="17" t="s">
        <v>19</v>
      </c>
      <c r="E15" s="18"/>
      <c r="F15" s="13">
        <v>720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500</v>
      </c>
      <c r="G16" t="s">
        <v>4</v>
      </c>
    </row>
    <row r="17" spans="1:8" ht="15.75" thickBot="1" x14ac:dyDescent="0.3">
      <c r="A17" s="9" t="s">
        <v>21</v>
      </c>
      <c r="B17" s="11">
        <v>40</v>
      </c>
      <c r="D17" s="21" t="s">
        <v>22</v>
      </c>
      <c r="E17" s="5"/>
      <c r="F17" s="13">
        <v>1220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218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1.4167516717669728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3193.1449323981401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20.060000000000173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0.96203106875288058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3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6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9.6203106875288054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3.1184024065761413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1DBBB-BE28-4EAF-8C7A-9C8E2121427A}">
  <sheetPr>
    <pageSetUpPr fitToPage="1"/>
  </sheetPr>
  <dimension ref="A1:M39"/>
  <sheetViews>
    <sheetView view="pageBreakPreview" zoomScale="85" zoomScaleNormal="85" zoomScaleSheetLayoutView="85" workbookViewId="0">
      <selection activeCell="C5" sqref="C5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215</v>
      </c>
      <c r="E1" s="56">
        <v>46195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573.70000000000005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794.21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1500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167.81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220.51</v>
      </c>
      <c r="C13" s="2" t="s">
        <v>4</v>
      </c>
      <c r="D13" s="50" t="s">
        <v>216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6</v>
      </c>
      <c r="G14" t="s">
        <v>17</v>
      </c>
    </row>
    <row r="15" spans="1:13" ht="15.75" thickBot="1" x14ac:dyDescent="0.3">
      <c r="A15" s="14" t="s">
        <v>18</v>
      </c>
      <c r="B15" s="54">
        <f>B13+E11</f>
        <v>525.51</v>
      </c>
      <c r="C15" s="2" t="s">
        <v>4</v>
      </c>
      <c r="D15" s="17" t="s">
        <v>19</v>
      </c>
      <c r="E15" s="18"/>
      <c r="F15" s="13">
        <v>300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700</v>
      </c>
      <c r="G16" t="s">
        <v>4</v>
      </c>
    </row>
    <row r="17" spans="1:8" ht="15.75" thickBot="1" x14ac:dyDescent="0.3">
      <c r="A17" s="9" t="s">
        <v>21</v>
      </c>
      <c r="B17" s="11">
        <v>110</v>
      </c>
      <c r="D17" s="21" t="s">
        <v>22</v>
      </c>
      <c r="E17" s="5"/>
      <c r="F17" s="13">
        <v>1000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175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8.938680650735952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3827.4042148240378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48.190000000000055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4.1911532060606662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10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20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12.573459618182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3.3403694190312909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0948A-609B-4D61-9900-4D26A73A3AB0}">
  <sheetPr>
    <pageSetUpPr fitToPage="1"/>
  </sheetPr>
  <dimension ref="A1:M39"/>
  <sheetViews>
    <sheetView view="pageBreakPreview" zoomScale="85" zoomScaleNormal="85" zoomScaleSheetLayoutView="85" workbookViewId="0">
      <selection activeCell="D14" sqref="D14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213</v>
      </c>
      <c r="E1" s="56">
        <v>46189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604.16999999999996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883.63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1500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117.2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279.46000000000004</v>
      </c>
      <c r="C13" s="2" t="s">
        <v>4</v>
      </c>
      <c r="D13" s="50" t="s">
        <v>214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1.5</v>
      </c>
      <c r="G14" t="s">
        <v>17</v>
      </c>
    </row>
    <row r="15" spans="1:13" ht="15.75" thickBot="1" x14ac:dyDescent="0.3">
      <c r="A15" s="14" t="s">
        <v>18</v>
      </c>
      <c r="B15" s="54">
        <f>B13+E11</f>
        <v>584.46</v>
      </c>
      <c r="C15" s="2" t="s">
        <v>4</v>
      </c>
      <c r="D15" s="17" t="s">
        <v>19</v>
      </c>
      <c r="E15" s="18"/>
      <c r="F15" s="13">
        <v>203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1219</v>
      </c>
      <c r="G16" t="s">
        <v>4</v>
      </c>
    </row>
    <row r="17" spans="1:8" ht="15.75" thickBot="1" x14ac:dyDescent="0.3">
      <c r="A17" s="9" t="s">
        <v>21</v>
      </c>
      <c r="B17" s="11">
        <v>90</v>
      </c>
      <c r="D17" s="21" t="s">
        <v>22</v>
      </c>
      <c r="E17" s="5"/>
      <c r="F17" s="13">
        <v>1422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211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12.798634812286689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1789.4260427435174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19.709999999999923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3.5556954060374251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5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10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21.334172436224552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3.4283026547498641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192D1-B300-40D8-9A6B-BA17C2E70455}">
  <sheetPr>
    <pageSetUpPr fitToPage="1"/>
  </sheetPr>
  <dimension ref="A1:M39"/>
  <sheetViews>
    <sheetView view="pageBreakPreview" zoomScale="85" zoomScaleNormal="85" zoomScaleSheetLayoutView="85" workbookViewId="0">
      <selection activeCell="C12" sqref="C12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210</v>
      </c>
      <c r="E1" s="56">
        <v>46189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597.66999999999996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850.8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1500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144.49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253.13</v>
      </c>
      <c r="C13" s="2" t="s">
        <v>4</v>
      </c>
      <c r="D13" s="50" t="s">
        <v>212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1</v>
      </c>
      <c r="G14" t="s">
        <v>17</v>
      </c>
    </row>
    <row r="15" spans="1:13" ht="15.75" thickBot="1" x14ac:dyDescent="0.3">
      <c r="A15" s="14" t="s">
        <v>18</v>
      </c>
      <c r="B15" s="54">
        <f>B13+E11</f>
        <v>558.13</v>
      </c>
      <c r="C15" s="2" t="s">
        <v>4</v>
      </c>
      <c r="D15" s="17" t="s">
        <v>19</v>
      </c>
      <c r="E15" s="18"/>
      <c r="F15" s="13">
        <v>280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1000</v>
      </c>
      <c r="G16" t="s">
        <v>4</v>
      </c>
    </row>
    <row r="17" spans="1:8" ht="15.75" thickBot="1" x14ac:dyDescent="0.3">
      <c r="A17" s="9" t="s">
        <v>21</v>
      </c>
      <c r="B17" s="11">
        <v>70</v>
      </c>
      <c r="D17" s="21" t="s">
        <v>22</v>
      </c>
      <c r="E17" s="5"/>
      <c r="F17" s="13">
        <v>1280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211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10.381341269291992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1334.5504442005363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39.539999999999964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1.948316803587802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3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6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19.48316803587802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3.0795813026665231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B1E77-9AA2-4C8B-A1BA-62DA65F4F4E1}">
  <sheetPr>
    <pageSetUpPr fitToPage="1"/>
  </sheetPr>
  <dimension ref="A1:M39"/>
  <sheetViews>
    <sheetView view="pageBreakPreview" zoomScale="85" zoomScaleNormal="85" zoomScaleSheetLayoutView="85" workbookViewId="0">
      <selection activeCell="C10" sqref="C10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207</v>
      </c>
      <c r="E1" s="56">
        <v>46184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1174.76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1978.06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1600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741.1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803.3</v>
      </c>
      <c r="C13" s="2" t="s">
        <v>4</v>
      </c>
      <c r="D13" s="50" t="s">
        <v>209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1.5</v>
      </c>
      <c r="G14" t="s">
        <v>17</v>
      </c>
    </row>
    <row r="15" spans="1:13" ht="15.75" thickBot="1" x14ac:dyDescent="0.3">
      <c r="A15" s="14" t="s">
        <v>18</v>
      </c>
      <c r="B15" s="54">
        <f>B13+E11</f>
        <v>1108.3</v>
      </c>
      <c r="C15" s="2" t="s">
        <v>4</v>
      </c>
      <c r="D15" s="17" t="s">
        <v>19</v>
      </c>
      <c r="E15" s="18"/>
      <c r="F15" s="13">
        <v>900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1500</v>
      </c>
      <c r="G16" t="s">
        <v>4</v>
      </c>
    </row>
    <row r="17" spans="1:8" ht="15.75" thickBot="1" x14ac:dyDescent="0.3">
      <c r="A17" s="9" t="s">
        <v>21</v>
      </c>
      <c r="B17" s="11">
        <v>40</v>
      </c>
      <c r="D17" s="21" t="s">
        <v>22</v>
      </c>
      <c r="E17" s="5"/>
      <c r="F17" s="13">
        <v>2400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208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2.1589529078396978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2095.410884017856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66.460000000000036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2.0189131029029448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2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4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30.283696543544171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2.9718961115130464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76E27-7169-4607-81EB-E69AB3CC6CDC}">
  <sheetPr>
    <pageSetUpPr fitToPage="1"/>
  </sheetPr>
  <dimension ref="A1:M39"/>
  <sheetViews>
    <sheetView view="pageBreakPreview" zoomScale="85" zoomScaleNormal="85" zoomScaleSheetLayoutView="85" workbookViewId="0">
      <selection activeCell="B17" sqref="B17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206</v>
      </c>
      <c r="E1" s="56">
        <v>46177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541.08000000000004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773.43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850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177.01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232.34999999999991</v>
      </c>
      <c r="C13" s="2" t="s">
        <v>4</v>
      </c>
      <c r="D13" s="50" t="s">
        <v>203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2</v>
      </c>
      <c r="G14" t="s">
        <v>17</v>
      </c>
    </row>
    <row r="15" spans="1:13" ht="15.75" thickBot="1" x14ac:dyDescent="0.3">
      <c r="A15" s="14" t="s">
        <v>18</v>
      </c>
      <c r="B15" s="54">
        <f>B13+E11</f>
        <v>537.34999999999991</v>
      </c>
      <c r="C15" s="2" t="s">
        <v>4</v>
      </c>
      <c r="D15" s="17" t="s">
        <v>19</v>
      </c>
      <c r="E15" s="18"/>
      <c r="F15" s="13">
        <v>250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650</v>
      </c>
      <c r="G16" t="s">
        <v>4</v>
      </c>
    </row>
    <row r="17" spans="1:8" ht="15.75" thickBot="1" x14ac:dyDescent="0.3">
      <c r="A17" s="9" t="s">
        <v>21</v>
      </c>
      <c r="B17" s="11">
        <v>60</v>
      </c>
      <c r="D17" s="21" t="s">
        <v>22</v>
      </c>
      <c r="E17" s="5"/>
      <c r="F17" s="13">
        <v>900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175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4.8019885882153552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2119.6968736266481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3.7300000000001319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1.3139082955108585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3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6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13.139082955108584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2.9682436843765019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9891-69C4-416F-B508-28C1F5CE9723}">
  <sheetPr>
    <pageSetUpPr fitToPage="1"/>
  </sheetPr>
  <dimension ref="A1:M39"/>
  <sheetViews>
    <sheetView view="pageBreakPreview" zoomScale="85" zoomScaleNormal="85" zoomScaleSheetLayoutView="85" workbookViewId="0">
      <selection activeCell="C20" sqref="C20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205</v>
      </c>
      <c r="E1" s="56">
        <v>46177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541.08000000000004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773.43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850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177.01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232.34999999999991</v>
      </c>
      <c r="C13" s="2" t="s">
        <v>4</v>
      </c>
      <c r="D13" s="50" t="s">
        <v>203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2</v>
      </c>
      <c r="G14" t="s">
        <v>17</v>
      </c>
    </row>
    <row r="15" spans="1:13" ht="15.75" thickBot="1" x14ac:dyDescent="0.3">
      <c r="A15" s="14" t="s">
        <v>18</v>
      </c>
      <c r="B15" s="54">
        <f>B13+E11</f>
        <v>537.34999999999991</v>
      </c>
      <c r="C15" s="2" t="s">
        <v>4</v>
      </c>
      <c r="D15" s="17" t="s">
        <v>19</v>
      </c>
      <c r="E15" s="18"/>
      <c r="F15" s="13">
        <v>250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650</v>
      </c>
      <c r="G16" t="s">
        <v>4</v>
      </c>
    </row>
    <row r="17" spans="1:8" ht="15.75" thickBot="1" x14ac:dyDescent="0.3">
      <c r="A17" s="9" t="s">
        <v>21</v>
      </c>
      <c r="B17" s="11">
        <v>60</v>
      </c>
      <c r="D17" s="21" t="s">
        <v>22</v>
      </c>
      <c r="E17" s="5"/>
      <c r="F17" s="13">
        <v>900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204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4.8019885882153552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2119.6968736266481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3.7300000000001319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1.3139082955108585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3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6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13.139082955108584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2.9682436843765019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5490F-49D1-4ED6-85B4-F116589002A6}">
  <sheetPr>
    <pageSetUpPr fitToPage="1"/>
  </sheetPr>
  <dimension ref="A1:M39"/>
  <sheetViews>
    <sheetView view="pageBreakPreview" zoomScale="85" zoomScaleNormal="85" zoomScaleSheetLayoutView="85" workbookViewId="0">
      <selection activeCell="C13" sqref="C13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199</v>
      </c>
      <c r="E1" s="56">
        <v>46169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545.45000000000005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751.86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650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101.33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206.40999999999997</v>
      </c>
      <c r="C13" s="2" t="s">
        <v>4</v>
      </c>
      <c r="D13" s="50" t="s">
        <v>201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1.5</v>
      </c>
      <c r="G14" t="s">
        <v>17</v>
      </c>
    </row>
    <row r="15" spans="1:13" ht="15.75" thickBot="1" x14ac:dyDescent="0.3">
      <c r="A15" s="14" t="s">
        <v>18</v>
      </c>
      <c r="B15" s="54">
        <f>B13+E11</f>
        <v>511.40999999999997</v>
      </c>
      <c r="C15" s="2" t="s">
        <v>4</v>
      </c>
      <c r="D15" s="17" t="s">
        <v>19</v>
      </c>
      <c r="E15" s="18"/>
      <c r="F15" s="13">
        <v>250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900</v>
      </c>
      <c r="G16" t="s">
        <v>4</v>
      </c>
    </row>
    <row r="17" spans="1:8" ht="15.75" thickBot="1" x14ac:dyDescent="0.3">
      <c r="A17" s="9" t="s">
        <v>21</v>
      </c>
      <c r="B17" s="11">
        <v>60</v>
      </c>
      <c r="D17" s="21" t="s">
        <v>22</v>
      </c>
      <c r="E17" s="5"/>
      <c r="F17" s="13">
        <v>1150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200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6.4146846935754462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1586.7904166552958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34.040000000000077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1.1672210513294443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2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4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17.508315769941664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3.0842486912823097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2C00D-FA6E-4948-9BB3-A0BF01BA92C7}">
  <sheetPr>
    <pageSetUpPr fitToPage="1"/>
  </sheetPr>
  <dimension ref="A1:M39"/>
  <sheetViews>
    <sheetView view="pageBreakPreview" topLeftCell="A4" zoomScale="85" zoomScaleNormal="85" zoomScaleSheetLayoutView="85" workbookViewId="0">
      <selection activeCell="B31" sqref="B31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196</v>
      </c>
      <c r="E1" s="56">
        <v>46168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763.99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1167.28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1000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124.57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403.28999999999996</v>
      </c>
      <c r="C13" s="2" t="s">
        <v>4</v>
      </c>
      <c r="D13" s="50" t="s">
        <v>198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2</v>
      </c>
      <c r="G14" t="s">
        <v>17</v>
      </c>
    </row>
    <row r="15" spans="1:13" ht="15.75" thickBot="1" x14ac:dyDescent="0.3">
      <c r="A15" s="14" t="s">
        <v>18</v>
      </c>
      <c r="B15" s="54">
        <f>B13+E11</f>
        <v>708.29</v>
      </c>
      <c r="C15" s="2" t="s">
        <v>4</v>
      </c>
      <c r="D15" s="17" t="s">
        <v>19</v>
      </c>
      <c r="E15" s="18"/>
      <c r="F15" s="13">
        <v>250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1500</v>
      </c>
      <c r="G16" t="s">
        <v>4</v>
      </c>
    </row>
    <row r="17" spans="1:8" ht="15.75" thickBot="1" x14ac:dyDescent="0.3">
      <c r="A17" s="9" t="s">
        <v>21</v>
      </c>
      <c r="B17" s="11">
        <v>80</v>
      </c>
      <c r="D17" s="21" t="s">
        <v>22</v>
      </c>
      <c r="E17" s="5"/>
      <c r="F17" s="13">
        <v>1750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197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8.0276149955848126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2254.1656139002398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55.700000000000045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4.0543132840519291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4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8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30.407349630389469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2.9598107396395026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2E99F-ED61-46A1-9475-E45E32951E53}">
  <sheetPr>
    <pageSetUpPr fitToPage="1"/>
  </sheetPr>
  <dimension ref="A1:M39"/>
  <sheetViews>
    <sheetView view="pageBreakPreview" zoomScale="85" zoomScaleNormal="85" zoomScaleSheetLayoutView="85" workbookViewId="0">
      <selection activeCell="C21" sqref="C21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192</v>
      </c>
      <c r="E1" s="56">
        <v>46167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424.23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534.82000000000005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525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72.319999999999993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110.59000000000003</v>
      </c>
      <c r="C13" s="2" t="s">
        <v>4</v>
      </c>
      <c r="D13" s="50" t="s">
        <v>193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0.1</v>
      </c>
      <c r="G14" t="s">
        <v>17</v>
      </c>
    </row>
    <row r="15" spans="1:13" ht="15.75" thickBot="1" x14ac:dyDescent="0.3">
      <c r="A15" s="14" t="s">
        <v>18</v>
      </c>
      <c r="B15" s="54">
        <f>B13+E11</f>
        <v>415.59000000000003</v>
      </c>
      <c r="C15" s="2" t="s">
        <v>4</v>
      </c>
      <c r="D15" s="17" t="s">
        <v>19</v>
      </c>
      <c r="E15" s="18"/>
      <c r="F15" s="13">
        <v>200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500</v>
      </c>
      <c r="G16" t="s">
        <v>4</v>
      </c>
    </row>
    <row r="17" spans="1:8" ht="15.75" thickBot="1" x14ac:dyDescent="0.3">
      <c r="A17" s="9" t="s">
        <v>21</v>
      </c>
      <c r="B17" s="11">
        <v>70</v>
      </c>
      <c r="D17" s="21" t="s">
        <v>22</v>
      </c>
      <c r="E17" s="5"/>
      <c r="F17" s="13">
        <v>700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194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7.259402654867257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1908.479837943956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8.6399999999999864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0.85120039232321376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3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6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8.5120039232321378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3.5244344657924618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B23B0-C46A-4AAC-8813-00A73F432FCF}">
  <sheetPr>
    <pageSetUpPr fitToPage="1"/>
  </sheetPr>
  <dimension ref="A1:M39"/>
  <sheetViews>
    <sheetView view="pageBreakPreview" zoomScale="85" zoomScaleNormal="85" zoomScaleSheetLayoutView="85" workbookViewId="0">
      <selection activeCell="D14" sqref="D14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190</v>
      </c>
      <c r="E1" s="56">
        <v>46167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756.83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1165.22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1000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159.05000000000001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408.39</v>
      </c>
      <c r="C13" s="2" t="s">
        <v>4</v>
      </c>
      <c r="D13" s="50" t="s">
        <v>59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2</v>
      </c>
      <c r="G14" t="s">
        <v>17</v>
      </c>
    </row>
    <row r="15" spans="1:13" ht="15.75" thickBot="1" x14ac:dyDescent="0.3">
      <c r="A15" s="14" t="s">
        <v>18</v>
      </c>
      <c r="B15" s="54">
        <f>B13+E11</f>
        <v>713.39</v>
      </c>
      <c r="C15" s="2" t="s">
        <v>4</v>
      </c>
      <c r="D15" s="17" t="s">
        <v>19</v>
      </c>
      <c r="E15" s="18"/>
      <c r="F15" s="13">
        <v>280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1400</v>
      </c>
      <c r="G16" t="s">
        <v>4</v>
      </c>
    </row>
    <row r="17" spans="1:8" ht="15.75" thickBot="1" x14ac:dyDescent="0.3">
      <c r="A17" s="9" t="s">
        <v>21</v>
      </c>
      <c r="B17" s="11">
        <v>70</v>
      </c>
      <c r="D17" s="21" t="s">
        <v>22</v>
      </c>
      <c r="E17" s="5"/>
      <c r="F17" s="13">
        <f>1500+280-100</f>
        <v>1680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191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6.287331027978623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2203.5460739507434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43.440000000000055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3.1433378083088628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4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8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23.57503356231647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3.5630914279702179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F73EA-5382-48FE-B20E-10495DED2914}">
  <sheetPr>
    <pageSetUpPr fitToPage="1"/>
  </sheetPr>
  <dimension ref="A1:M39"/>
  <sheetViews>
    <sheetView view="pageBreakPreview" topLeftCell="A10" zoomScale="85" zoomScaleNormal="85" zoomScaleSheetLayoutView="85" workbookViewId="0">
      <selection activeCell="E13" sqref="E13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188</v>
      </c>
      <c r="E1" s="56">
        <v>46167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641.46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918.49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850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317.66000000000003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277.02999999999997</v>
      </c>
      <c r="C13" s="2" t="s">
        <v>4</v>
      </c>
      <c r="D13" s="50" t="s">
        <v>202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10</v>
      </c>
      <c r="G14" t="s">
        <v>17</v>
      </c>
    </row>
    <row r="15" spans="1:13" ht="15.75" thickBot="1" x14ac:dyDescent="0.3">
      <c r="A15" s="14" t="s">
        <v>18</v>
      </c>
      <c r="B15" s="54">
        <f>B13+E11</f>
        <v>582.03</v>
      </c>
      <c r="C15" s="2" t="s">
        <v>4</v>
      </c>
      <c r="D15" s="17" t="s">
        <v>19</v>
      </c>
      <c r="E15" s="18"/>
      <c r="F15" s="13">
        <v>600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600</v>
      </c>
      <c r="G16" t="s">
        <v>4</v>
      </c>
    </row>
    <row r="17" spans="1:8" ht="15.75" thickBot="1" x14ac:dyDescent="0.3">
      <c r="A17" s="9" t="s">
        <v>21</v>
      </c>
      <c r="B17" s="11">
        <v>110</v>
      </c>
      <c r="D17" s="21" t="s">
        <v>22</v>
      </c>
      <c r="E17" s="5"/>
      <c r="F17" s="13">
        <v>1200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189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2.6758169111628782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12785.607212088644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59.430000000000064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5.2654082475850812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12.5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25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12.636979794204194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2.8487819547286914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D57A-A722-40EE-9352-0CF0EF65F40F}">
  <sheetPr>
    <pageSetUpPr fitToPage="1"/>
  </sheetPr>
  <dimension ref="A1:M39"/>
  <sheetViews>
    <sheetView view="pageBreakPreview" topLeftCell="A4" zoomScale="85" zoomScaleNormal="85" zoomScaleSheetLayoutView="85" workbookViewId="0">
      <selection activeCell="C25" sqref="C25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185</v>
      </c>
      <c r="E1" s="56">
        <v>46167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516.95000000000005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698.18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600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127.32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181.2299999999999</v>
      </c>
      <c r="C13" s="2" t="s">
        <v>4</v>
      </c>
      <c r="D13" s="50" t="s">
        <v>187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3</v>
      </c>
      <c r="G14" t="s">
        <v>17</v>
      </c>
    </row>
    <row r="15" spans="1:13" ht="15.75" thickBot="1" x14ac:dyDescent="0.3">
      <c r="A15" s="14" t="s">
        <v>18</v>
      </c>
      <c r="B15" s="54">
        <f>B13+E11</f>
        <v>486.2299999999999</v>
      </c>
      <c r="C15" s="2" t="s">
        <v>4</v>
      </c>
      <c r="D15" s="17" t="s">
        <v>19</v>
      </c>
      <c r="E15" s="18"/>
      <c r="F15" s="13">
        <v>300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700</v>
      </c>
      <c r="G16" t="s">
        <v>4</v>
      </c>
    </row>
    <row r="17" spans="1:8" ht="15.75" thickBot="1" x14ac:dyDescent="0.3">
      <c r="A17" s="9" t="s">
        <v>21</v>
      </c>
      <c r="B17" s="11">
        <v>50</v>
      </c>
      <c r="D17" s="21" t="s">
        <v>22</v>
      </c>
      <c r="E17" s="5"/>
      <c r="F17" s="13">
        <v>1000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186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1</v>
      </c>
      <c r="C21" s="57"/>
      <c r="D21" s="22" t="s">
        <v>28</v>
      </c>
      <c r="E21" s="23">
        <f>B9/B11</f>
        <v>4.7125353440150803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749.97670622822329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30.720000000000141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0.35584427288129872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1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2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10.675328186438962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3.9343052753500602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F4F8-12F1-4126-BA33-ED8EAF613169}">
  <sheetPr>
    <pageSetUpPr fitToPage="1"/>
  </sheetPr>
  <dimension ref="A1:M39"/>
  <sheetViews>
    <sheetView view="pageBreakPreview" zoomScale="85" zoomScaleNormal="85" zoomScaleSheetLayoutView="85" workbookViewId="0">
      <selection activeCell="C23" sqref="C23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182</v>
      </c>
      <c r="E1" s="56">
        <v>46167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704.09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1080.08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950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155.02000000000001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375.9899999999999</v>
      </c>
      <c r="C13" s="2" t="s">
        <v>4</v>
      </c>
      <c r="D13" s="50" t="s">
        <v>183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3</v>
      </c>
      <c r="G14" t="s">
        <v>17</v>
      </c>
    </row>
    <row r="15" spans="1:13" ht="15.75" thickBot="1" x14ac:dyDescent="0.3">
      <c r="A15" s="14" t="s">
        <v>18</v>
      </c>
      <c r="B15" s="54">
        <f>B13+E11</f>
        <v>680.9899999999999</v>
      </c>
      <c r="C15" s="2" t="s">
        <v>4</v>
      </c>
      <c r="D15" s="17" t="s">
        <v>19</v>
      </c>
      <c r="E15" s="18"/>
      <c r="F15" s="13">
        <v>250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1250</v>
      </c>
      <c r="G16" t="s">
        <v>4</v>
      </c>
    </row>
    <row r="17" spans="1:8" ht="15.75" thickBot="1" x14ac:dyDescent="0.3">
      <c r="A17" s="9" t="s">
        <v>21</v>
      </c>
      <c r="B17" s="11">
        <v>90</v>
      </c>
      <c r="D17" s="21" t="s">
        <v>22</v>
      </c>
      <c r="E17" s="5"/>
      <c r="F17" s="13">
        <v>1500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184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6.128241517223584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3737.1585927712417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23.100000000000136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4.7838900583840651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6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12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23.919450291920324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3.1355235628192517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D1F79-F917-43ED-A09C-4FD9D126420C}">
  <sheetPr>
    <pageSetUpPr fitToPage="1"/>
  </sheetPr>
  <dimension ref="A1:M39"/>
  <sheetViews>
    <sheetView view="pageBreakPreview" zoomScale="85" zoomScaleNormal="85" zoomScaleSheetLayoutView="85" workbookViewId="0">
      <selection activeCell="H16" sqref="H16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180</v>
      </c>
      <c r="E1" s="56">
        <v>46164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675.08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1032.81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950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193.25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357.7299999999999</v>
      </c>
      <c r="C13" s="2" t="s">
        <v>4</v>
      </c>
      <c r="D13" s="50" t="s">
        <v>195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1.6</v>
      </c>
      <c r="G14" t="s">
        <v>17</v>
      </c>
    </row>
    <row r="15" spans="1:13" ht="15.75" thickBot="1" x14ac:dyDescent="0.3">
      <c r="A15" s="14" t="s">
        <v>18</v>
      </c>
      <c r="B15" s="54">
        <f>B13+E11</f>
        <v>662.7299999999999</v>
      </c>
      <c r="C15" s="2" t="s">
        <v>4</v>
      </c>
      <c r="D15" s="17" t="s">
        <v>19</v>
      </c>
      <c r="E15" s="18"/>
      <c r="F15" s="13">
        <v>250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850</v>
      </c>
      <c r="G16" t="s">
        <v>4</v>
      </c>
    </row>
    <row r="17" spans="1:8" ht="15.75" thickBot="1" x14ac:dyDescent="0.3">
      <c r="A17" s="9" t="s">
        <v>21</v>
      </c>
      <c r="B17" s="11">
        <v>50</v>
      </c>
      <c r="D17" s="21" t="s">
        <v>22</v>
      </c>
      <c r="E17" s="5"/>
      <c r="F17" s="13">
        <v>1100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181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4.9159120310478652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1437.8986901989599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12.350000000000136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1.4048024249608455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2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4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21.072036374412683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2.4202691706591861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12F1E-13D0-448F-AE4B-0120B030DF07}">
  <sheetPr>
    <pageSetUpPr fitToPage="1"/>
  </sheetPr>
  <dimension ref="A1:M39"/>
  <sheetViews>
    <sheetView view="pageBreakPreview" topLeftCell="A13" zoomScale="85" zoomScaleNormal="85" zoomScaleSheetLayoutView="85" workbookViewId="0">
      <selection activeCell="B32" sqref="B32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177</v>
      </c>
      <c r="E1" s="56">
        <v>46163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751.1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1127.3599999999999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950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150.56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376.25999999999988</v>
      </c>
      <c r="C13" s="2" t="s">
        <v>4</v>
      </c>
      <c r="D13" s="50" t="s">
        <v>179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10</v>
      </c>
      <c r="G14" t="s">
        <v>17</v>
      </c>
    </row>
    <row r="15" spans="1:13" ht="15.75" thickBot="1" x14ac:dyDescent="0.3">
      <c r="A15" s="14" t="s">
        <v>18</v>
      </c>
      <c r="B15" s="54">
        <f>B13+E11</f>
        <v>681.25999999999988</v>
      </c>
      <c r="C15" s="2" t="s">
        <v>4</v>
      </c>
      <c r="D15" s="17" t="s">
        <v>19</v>
      </c>
      <c r="E15" s="18"/>
      <c r="F15" s="13">
        <v>300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1400</v>
      </c>
      <c r="G16" t="s">
        <v>4</v>
      </c>
    </row>
    <row r="17" spans="1:8" ht="15.75" thickBot="1" x14ac:dyDescent="0.3">
      <c r="A17" s="9" t="s">
        <v>21</v>
      </c>
      <c r="B17" s="11">
        <v>110</v>
      </c>
      <c r="D17" s="21" t="s">
        <v>22</v>
      </c>
      <c r="E17" s="5"/>
      <c r="F17" s="13">
        <v>1700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178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4</v>
      </c>
      <c r="C21" s="57"/>
      <c r="D21" s="22" t="s">
        <v>28</v>
      </c>
      <c r="E21" s="23">
        <f>B9/B11</f>
        <v>6.3097768331562163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10844.105870058063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69.840000000000146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14.302873387260311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15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30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28.605746774520622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2.9364728934404014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C6163-F957-4088-BB78-82595746C132}">
  <sheetPr>
    <pageSetUpPr fitToPage="1"/>
  </sheetPr>
  <dimension ref="A1:M39"/>
  <sheetViews>
    <sheetView view="pageBreakPreview" topLeftCell="A10" zoomScale="85" zoomScaleNormal="85" zoomScaleSheetLayoutView="85" workbookViewId="0">
      <selection activeCell="B32" sqref="B32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174</v>
      </c>
      <c r="E1" s="56">
        <v>46163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869.58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1346.44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1150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151.63999999999999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476.86</v>
      </c>
      <c r="C13" s="2" t="s">
        <v>4</v>
      </c>
      <c r="D13" s="50" t="s">
        <v>176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10</v>
      </c>
      <c r="G14" t="s">
        <v>17</v>
      </c>
    </row>
    <row r="15" spans="1:13" ht="15.75" thickBot="1" x14ac:dyDescent="0.3">
      <c r="A15" s="14" t="s">
        <v>18</v>
      </c>
      <c r="B15" s="54">
        <f>B13+E11</f>
        <v>781.86</v>
      </c>
      <c r="C15" s="2" t="s">
        <v>4</v>
      </c>
      <c r="D15" s="17" t="s">
        <v>19</v>
      </c>
      <c r="E15" s="18"/>
      <c r="F15" s="13">
        <v>300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1700</v>
      </c>
      <c r="G16" t="s">
        <v>4</v>
      </c>
    </row>
    <row r="17" spans="1:8" ht="15.75" thickBot="1" x14ac:dyDescent="0.3">
      <c r="A17" s="9" t="s">
        <v>21</v>
      </c>
      <c r="B17" s="11">
        <v>125</v>
      </c>
      <c r="D17" s="21" t="s">
        <v>22</v>
      </c>
      <c r="E17" s="5"/>
      <c r="F17" s="13">
        <v>2000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175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4</v>
      </c>
      <c r="C21" s="57"/>
      <c r="D21" s="22" t="s">
        <v>28</v>
      </c>
      <c r="E21" s="23">
        <f>B9/B11</f>
        <v>7.583750989184912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11650.869537807625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87.720000000000027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23.407810512356701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20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40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35.111715768535056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2.9050132631628922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80073-1084-4ABC-880D-0E145F2C81FF}">
  <sheetPr>
    <pageSetUpPr fitToPage="1"/>
  </sheetPr>
  <dimension ref="A1:M39"/>
  <sheetViews>
    <sheetView view="pageBreakPreview" topLeftCell="A10" zoomScale="85" zoomScaleNormal="85" zoomScaleSheetLayoutView="85" workbookViewId="0">
      <selection activeCell="B29" sqref="B29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171</v>
      </c>
      <c r="E1" s="56">
        <v>46163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595.51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872.15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750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79.510000000000005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276.64</v>
      </c>
      <c r="C13" s="2" t="s">
        <v>4</v>
      </c>
      <c r="D13" s="50" t="s">
        <v>172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1</v>
      </c>
      <c r="G14" t="s">
        <v>17</v>
      </c>
    </row>
    <row r="15" spans="1:13" ht="15.75" thickBot="1" x14ac:dyDescent="0.3">
      <c r="A15" s="14" t="s">
        <v>18</v>
      </c>
      <c r="B15" s="54">
        <f>B13+E11</f>
        <v>581.64</v>
      </c>
      <c r="C15" s="2" t="s">
        <v>4</v>
      </c>
      <c r="D15" s="17" t="s">
        <v>19</v>
      </c>
      <c r="E15" s="18"/>
      <c r="F15" s="13">
        <v>150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1200</v>
      </c>
      <c r="G16" t="s">
        <v>4</v>
      </c>
    </row>
    <row r="17" spans="1:8" ht="15.75" thickBot="1" x14ac:dyDescent="0.3">
      <c r="A17" s="9" t="s">
        <v>21</v>
      </c>
      <c r="B17" s="11">
        <v>60</v>
      </c>
      <c r="D17" s="21" t="s">
        <v>22</v>
      </c>
      <c r="E17" s="5"/>
      <c r="F17" s="13">
        <v>1350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173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9.4327757514778003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1079.0842977515138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13.870000000000005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1.5643623450403445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2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4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23.465435175605169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3.0683428396355379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223BA-F5B2-439C-AABE-8110F427BD25}">
  <sheetPr>
    <pageSetUpPr fitToPage="1"/>
  </sheetPr>
  <dimension ref="A1:M39"/>
  <sheetViews>
    <sheetView view="pageBreakPreview" topLeftCell="A10" zoomScale="85" zoomScaleNormal="85" zoomScaleSheetLayoutView="85" workbookViewId="0">
      <selection activeCell="C28" sqref="C28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170</v>
      </c>
      <c r="E1" s="56">
        <v>46162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500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610.63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530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48.02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110.63</v>
      </c>
      <c r="C13" s="2" t="s">
        <v>4</v>
      </c>
      <c r="D13" s="50" t="s">
        <v>168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0.2</v>
      </c>
      <c r="G14" t="s">
        <v>17</v>
      </c>
    </row>
    <row r="15" spans="1:13" ht="15.75" thickBot="1" x14ac:dyDescent="0.3">
      <c r="A15" s="14" t="s">
        <v>18</v>
      </c>
      <c r="B15" s="54">
        <f>B13+E11</f>
        <v>415.63</v>
      </c>
      <c r="C15" s="2" t="s">
        <v>4</v>
      </c>
      <c r="D15" s="17" t="s">
        <v>19</v>
      </c>
      <c r="E15" s="18"/>
      <c r="F15" s="13">
        <v>250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1500</v>
      </c>
      <c r="G16" t="s">
        <v>4</v>
      </c>
    </row>
    <row r="17" spans="1:8" ht="15.75" thickBot="1" x14ac:dyDescent="0.3">
      <c r="A17" s="9" t="s">
        <v>21</v>
      </c>
      <c r="B17" s="11">
        <v>40</v>
      </c>
      <c r="D17" s="21" t="s">
        <v>22</v>
      </c>
      <c r="E17" s="5"/>
      <c r="F17" s="13">
        <v>1750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169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11.037067888379841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409.88181525386773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84.37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0.27804351621331108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2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4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4.1706527431996667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21.579355928576604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E3B3D-32DA-482E-AADB-1E0DE94C800E}">
  <sheetPr>
    <pageSetUpPr fitToPage="1"/>
  </sheetPr>
  <dimension ref="A1:M39"/>
  <sheetViews>
    <sheetView view="pageBreakPreview" zoomScale="85" zoomScaleNormal="85" zoomScaleSheetLayoutView="85" workbookViewId="0">
      <selection activeCell="G22" sqref="G22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167</v>
      </c>
      <c r="E1" s="56">
        <v>46162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751.83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1169.24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1000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134.15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417.40999999999997</v>
      </c>
      <c r="C13" s="2" t="s">
        <v>4</v>
      </c>
      <c r="D13" s="50" t="s">
        <v>168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0.2</v>
      </c>
      <c r="G14" t="s">
        <v>17</v>
      </c>
    </row>
    <row r="15" spans="1:13" ht="15.75" thickBot="1" x14ac:dyDescent="0.3">
      <c r="A15" s="14" t="s">
        <v>18</v>
      </c>
      <c r="B15" s="54">
        <f>B13+E11</f>
        <v>722.41</v>
      </c>
      <c r="C15" s="2" t="s">
        <v>4</v>
      </c>
      <c r="D15" s="17" t="s">
        <v>19</v>
      </c>
      <c r="E15" s="18"/>
      <c r="F15" s="13">
        <v>250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1500</v>
      </c>
      <c r="G16" t="s">
        <v>4</v>
      </c>
    </row>
    <row r="17" spans="1:8" ht="15.75" thickBot="1" x14ac:dyDescent="0.3">
      <c r="A17" s="9" t="s">
        <v>21</v>
      </c>
      <c r="B17" s="11">
        <v>40</v>
      </c>
      <c r="D17" s="21" t="s">
        <v>22</v>
      </c>
      <c r="E17" s="5"/>
      <c r="F17" s="13">
        <v>1750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169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7.4543421543048822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606.88030244986192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29.420000000000073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1.0490657516279325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2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4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15.735986274418988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5.7193745870449435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E8085-4947-4A00-8171-F2BD9BBAE050}">
  <sheetPr>
    <pageSetUpPr fitToPage="1"/>
  </sheetPr>
  <dimension ref="A1:M39"/>
  <sheetViews>
    <sheetView view="pageBreakPreview" zoomScale="85" zoomScaleNormal="85" zoomScaleSheetLayoutView="85" workbookViewId="0">
      <selection activeCell="F19" sqref="F19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164</v>
      </c>
      <c r="E1" s="56">
        <v>46162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561.99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813.43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700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119.65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251.43999999999994</v>
      </c>
      <c r="C13" s="2" t="s">
        <v>4</v>
      </c>
      <c r="D13" s="50" t="s">
        <v>165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1080</v>
      </c>
      <c r="G14" t="s">
        <v>17</v>
      </c>
    </row>
    <row r="15" spans="1:13" ht="15.75" thickBot="1" x14ac:dyDescent="0.3">
      <c r="A15" s="14" t="s">
        <v>18</v>
      </c>
      <c r="B15" s="54">
        <f>B13+E11</f>
        <v>556.43999999999994</v>
      </c>
      <c r="C15" s="2" t="s">
        <v>4</v>
      </c>
      <c r="D15" s="17" t="s">
        <v>19</v>
      </c>
      <c r="E15" s="18"/>
      <c r="F15" s="13">
        <v>250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950</v>
      </c>
      <c r="G16" t="s">
        <v>4</v>
      </c>
    </row>
    <row r="17" spans="1:8" ht="15.75" thickBot="1" x14ac:dyDescent="0.3">
      <c r="A17" s="9" t="s">
        <v>21</v>
      </c>
      <c r="B17" s="11">
        <v>60</v>
      </c>
      <c r="D17" s="21" t="s">
        <v>22</v>
      </c>
      <c r="E17" s="5"/>
      <c r="F17" s="13">
        <v>1200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166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5.8503969912244038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1739.8409394950586</v>
      </c>
      <c r="C23" s="2" t="s">
        <v>30</v>
      </c>
      <c r="D23" s="24" t="s">
        <v>31</v>
      </c>
      <c r="E23" s="20">
        <v>14.43</v>
      </c>
      <c r="F23" s="2"/>
      <c r="G23">
        <f>1200-250</f>
        <v>950</v>
      </c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5.5500000000000682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1.4218597022735113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3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6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14.218597022735112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4.0088343392008863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7BF3-8DD6-45E5-A0BE-04DECB886580}">
  <sheetPr>
    <pageSetUpPr fitToPage="1"/>
  </sheetPr>
  <dimension ref="A1:M39"/>
  <sheetViews>
    <sheetView view="pageBreakPreview" zoomScale="85" zoomScaleNormal="85" zoomScaleSheetLayoutView="85" workbookViewId="0">
      <selection activeCell="C23" sqref="C23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161</v>
      </c>
      <c r="E1" s="56">
        <v>46162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483.99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631.92999999999995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700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125.27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147.93999999999994</v>
      </c>
      <c r="C13" s="2" t="s">
        <v>4</v>
      </c>
      <c r="D13" s="50" t="s">
        <v>162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1600</v>
      </c>
      <c r="G14" t="s">
        <v>17</v>
      </c>
    </row>
    <row r="15" spans="1:13" ht="15.75" thickBot="1" x14ac:dyDescent="0.3">
      <c r="A15" s="14" t="s">
        <v>18</v>
      </c>
      <c r="B15" s="54">
        <f>B13+E11</f>
        <v>452.93999999999994</v>
      </c>
      <c r="C15" s="2" t="s">
        <v>4</v>
      </c>
      <c r="D15" s="17" t="s">
        <v>19</v>
      </c>
      <c r="E15" s="18"/>
      <c r="F15" s="13">
        <v>200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500</v>
      </c>
      <c r="G16" t="s">
        <v>4</v>
      </c>
    </row>
    <row r="17" spans="1:8" ht="15.75" thickBot="1" x14ac:dyDescent="0.3">
      <c r="A17" s="9" t="s">
        <v>21</v>
      </c>
      <c r="B17" s="11">
        <v>60</v>
      </c>
      <c r="D17" s="21" t="s">
        <v>22</v>
      </c>
      <c r="E17" s="5"/>
      <c r="F17" s="13">
        <v>700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163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5.5879300710465394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1821.561842796038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31.050000000000068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0.83658099090973281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3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6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8.3658099090973277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3.5860245841083191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F7832-9D68-48F1-8181-F93D6366668E}">
  <sheetPr>
    <pageSetUpPr fitToPage="1"/>
  </sheetPr>
  <dimension ref="A1:M39"/>
  <sheetViews>
    <sheetView view="pageBreakPreview" zoomScale="85" zoomScaleNormal="85" zoomScaleSheetLayoutView="85" workbookViewId="0">
      <selection activeCell="C11" sqref="C11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158</v>
      </c>
      <c r="E1" s="56">
        <v>46162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632.63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935.44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800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122.76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302.81000000000006</v>
      </c>
      <c r="C13" s="2" t="s">
        <v>4</v>
      </c>
      <c r="D13" s="50" t="s">
        <v>159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1.7</v>
      </c>
      <c r="G14" t="s">
        <v>17</v>
      </c>
    </row>
    <row r="15" spans="1:13" ht="15.75" thickBot="1" x14ac:dyDescent="0.3">
      <c r="A15" s="14" t="s">
        <v>18</v>
      </c>
      <c r="B15" s="54">
        <f>B13+E11</f>
        <v>607.81000000000006</v>
      </c>
      <c r="C15" s="2" t="s">
        <v>4</v>
      </c>
      <c r="D15" s="17" t="s">
        <v>19</v>
      </c>
      <c r="E15" s="18"/>
      <c r="F15" s="13">
        <v>250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1150</v>
      </c>
      <c r="G16" t="s">
        <v>4</v>
      </c>
    </row>
    <row r="17" spans="1:8" ht="15.75" thickBot="1" x14ac:dyDescent="0.3">
      <c r="A17" s="9" t="s">
        <v>21</v>
      </c>
      <c r="B17" s="11">
        <v>70</v>
      </c>
      <c r="D17" s="21" t="s">
        <v>22</v>
      </c>
      <c r="E17" s="5"/>
      <c r="F17" s="13">
        <v>1400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160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6.5167807103290976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2125.9613017776901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24.819999999999936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2.3306988950121377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3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6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23.306988950121376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2.9604853783414464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DC454-32AB-40B0-8C24-B68CF22F151D}">
  <sheetPr>
    <pageSetUpPr fitToPage="1"/>
  </sheetPr>
  <dimension ref="A1:M39"/>
  <sheetViews>
    <sheetView view="pageBreakPreview" topLeftCell="A12" zoomScale="85" zoomScaleNormal="85" zoomScaleSheetLayoutView="85" workbookViewId="0">
      <selection activeCell="A14" sqref="A14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156</v>
      </c>
      <c r="E1" s="56">
        <v>46160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578.44000000000005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822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700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114.06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243.55999999999995</v>
      </c>
      <c r="C13" s="2" t="s">
        <v>4</v>
      </c>
      <c r="D13" s="50" t="s">
        <v>154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2.2000000000000002</v>
      </c>
      <c r="G14" t="s">
        <v>17</v>
      </c>
    </row>
    <row r="15" spans="1:13" ht="15.75" thickBot="1" x14ac:dyDescent="0.3">
      <c r="A15" s="14" t="s">
        <v>18</v>
      </c>
      <c r="B15" s="54">
        <f>B13+E11</f>
        <v>548.55999999999995</v>
      </c>
      <c r="C15" s="2" t="s">
        <v>4</v>
      </c>
      <c r="D15" s="17" t="s">
        <v>19</v>
      </c>
      <c r="E15" s="18"/>
      <c r="F15" s="13">
        <v>260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1000</v>
      </c>
      <c r="G16" t="s">
        <v>4</v>
      </c>
    </row>
    <row r="17" spans="1:8" ht="15.75" thickBot="1" x14ac:dyDescent="0.3">
      <c r="A17" s="9" t="s">
        <v>21</v>
      </c>
      <c r="B17" s="11">
        <f>25.4*3</f>
        <v>76.199999999999989</v>
      </c>
      <c r="D17" s="21" t="s">
        <v>22</v>
      </c>
      <c r="E17" s="5"/>
      <c r="F17" s="13">
        <v>1260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157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/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6.1371208136068738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2675.0854059055464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29.880000000000109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2.2214461249617568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2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4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33.32169187442635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1.8006288584058556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61C7-6334-47E8-B0C7-64E94337C130}">
  <sheetPr>
    <pageSetUpPr fitToPage="1"/>
  </sheetPr>
  <dimension ref="A1:M39"/>
  <sheetViews>
    <sheetView view="pageBreakPreview" zoomScale="85" zoomScaleNormal="85" zoomScaleSheetLayoutView="85" workbookViewId="0">
      <selection activeCell="C5" sqref="C5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153</v>
      </c>
      <c r="E1" s="56">
        <v>46160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901.3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1444.38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1250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162.12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543.08000000000015</v>
      </c>
      <c r="C13" s="2" t="s">
        <v>4</v>
      </c>
      <c r="D13" s="50" t="s">
        <v>154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1.8</v>
      </c>
      <c r="G14" t="s">
        <v>17</v>
      </c>
    </row>
    <row r="15" spans="1:13" ht="15.75" thickBot="1" x14ac:dyDescent="0.3">
      <c r="A15" s="14" t="s">
        <v>18</v>
      </c>
      <c r="B15" s="54">
        <f>B13+E11</f>
        <v>848.08000000000015</v>
      </c>
      <c r="C15" s="2" t="s">
        <v>4</v>
      </c>
      <c r="D15" s="17" t="s">
        <v>19</v>
      </c>
      <c r="E15" s="18"/>
      <c r="F15" s="13">
        <v>250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1800</v>
      </c>
      <c r="G16" t="s">
        <v>4</v>
      </c>
    </row>
    <row r="17" spans="1:8" ht="15.75" thickBot="1" x14ac:dyDescent="0.3">
      <c r="A17" s="9" t="s">
        <v>21</v>
      </c>
      <c r="B17" s="11">
        <v>110</v>
      </c>
      <c r="D17" s="21" t="s">
        <v>22</v>
      </c>
      <c r="E17" s="5"/>
      <c r="F17" s="13">
        <v>2050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155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 t="s">
        <v>26</v>
      </c>
      <c r="C20" s="2"/>
      <c r="F20" s="2"/>
    </row>
    <row r="21" spans="1:8" ht="15.75" thickBot="1" x14ac:dyDescent="0.3">
      <c r="A21" s="9" t="s">
        <v>27</v>
      </c>
      <c r="B21" s="11">
        <v>1</v>
      </c>
      <c r="C21" s="57"/>
      <c r="D21" s="22" t="s">
        <v>28</v>
      </c>
      <c r="E21" s="23">
        <f>B9/B11</f>
        <v>7.7103380212188499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2218.5761443559013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53.2199999999998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5.1610618183924251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12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24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12.902654545981061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8.3703705787922544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7D98-5856-4BBC-A1A0-6478EF56101D}">
  <sheetPr>
    <pageSetUpPr fitToPage="1"/>
  </sheetPr>
  <dimension ref="A1:M39"/>
  <sheetViews>
    <sheetView view="pageBreakPreview" zoomScale="85" zoomScaleNormal="85" zoomScaleSheetLayoutView="85" workbookViewId="0">
      <selection activeCell="C7" sqref="C7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9" t="s">
        <v>150</v>
      </c>
      <c r="E1" s="56">
        <v>46157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918.34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1516.6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2050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639.35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598.25999999999988</v>
      </c>
      <c r="C13" s="2" t="s">
        <v>4</v>
      </c>
      <c r="D13" s="50" t="s">
        <v>152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0.25</v>
      </c>
      <c r="G14" t="s">
        <v>17</v>
      </c>
    </row>
    <row r="15" spans="1:13" ht="15.75" thickBot="1" x14ac:dyDescent="0.3">
      <c r="A15" s="14" t="s">
        <v>18</v>
      </c>
      <c r="B15" s="54">
        <f>B13+E11</f>
        <v>903.25999999999988</v>
      </c>
      <c r="C15" s="2" t="s">
        <v>4</v>
      </c>
      <c r="D15" s="17" t="s">
        <v>19</v>
      </c>
      <c r="E15" s="18"/>
      <c r="F15" s="13">
        <v>900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900</v>
      </c>
      <c r="G16" t="s">
        <v>4</v>
      </c>
    </row>
    <row r="17" spans="1:8" ht="15.75" thickBot="1" x14ac:dyDescent="0.3">
      <c r="A17" s="9" t="s">
        <v>21</v>
      </c>
      <c r="B17" s="11">
        <v>40</v>
      </c>
      <c r="D17" s="21" t="s">
        <v>22</v>
      </c>
      <c r="E17" s="5"/>
      <c r="F17" s="13">
        <v>1800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151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 t="s">
        <v>26</v>
      </c>
      <c r="C20" s="2"/>
      <c r="F20" s="2"/>
    </row>
    <row r="21" spans="1:8" ht="15.75" thickBot="1" x14ac:dyDescent="0.3">
      <c r="A21" s="9" t="s">
        <v>27</v>
      </c>
      <c r="B21" s="11">
        <v>1</v>
      </c>
      <c r="C21" s="57"/>
      <c r="D21" s="22" t="s">
        <v>28</v>
      </c>
      <c r="E21" s="23">
        <f>B9/B11</f>
        <v>3.2063814811918352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705.45152654258391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15.080000000000155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0.75179568837465183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3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6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7.5179568837465176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7.1828025665783679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6D08D-966F-44E2-9C4A-74836B494684}">
  <sheetPr>
    <pageSetUpPr fitToPage="1"/>
  </sheetPr>
  <dimension ref="A1:M39"/>
  <sheetViews>
    <sheetView view="pageBreakPreview" zoomScale="85" zoomScaleNormal="85" zoomScaleSheetLayoutView="85" workbookViewId="0">
      <selection activeCell="G6" sqref="G6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148</v>
      </c>
      <c r="E1" s="56">
        <v>46156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437.56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568.76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960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148.82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131.19999999999999</v>
      </c>
      <c r="C13" s="2" t="s">
        <v>4</v>
      </c>
      <c r="D13" s="50" t="s">
        <v>147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0.1</v>
      </c>
      <c r="G14" t="s">
        <v>17</v>
      </c>
    </row>
    <row r="15" spans="1:13" ht="15.75" thickBot="1" x14ac:dyDescent="0.3">
      <c r="A15" s="14" t="s">
        <v>18</v>
      </c>
      <c r="B15" s="54">
        <f>B13+E11</f>
        <v>436.2</v>
      </c>
      <c r="C15" s="2" t="s">
        <v>4</v>
      </c>
      <c r="D15" s="17" t="s">
        <v>19</v>
      </c>
      <c r="E15" s="18"/>
      <c r="F15" s="13">
        <v>300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406</v>
      </c>
      <c r="G16" t="s">
        <v>4</v>
      </c>
    </row>
    <row r="17" spans="1:8" ht="15.75" thickBot="1" x14ac:dyDescent="0.3">
      <c r="A17" s="9" t="s">
        <v>21</v>
      </c>
      <c r="B17" s="11">
        <v>40</v>
      </c>
      <c r="D17" s="21" t="s">
        <v>22</v>
      </c>
      <c r="E17" s="5"/>
      <c r="F17" s="13">
        <v>706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149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 t="s">
        <v>26</v>
      </c>
      <c r="C20" s="2"/>
      <c r="F20" s="2"/>
    </row>
    <row r="21" spans="1:8" ht="15.75" thickBot="1" x14ac:dyDescent="0.3">
      <c r="A21" s="9" t="s">
        <v>27</v>
      </c>
      <c r="B21" s="11">
        <v>1</v>
      </c>
      <c r="C21" s="57"/>
      <c r="D21" s="22" t="s">
        <v>28</v>
      </c>
      <c r="E21" s="23">
        <f>B9/B11</f>
        <v>6.4507458674909293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350.64886403042476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1.3600000000000136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0.16487078246039236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1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2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4.9461234738117712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4.925069123118103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CC12E-6457-4810-9ED1-F11369824F4A}">
  <sheetPr>
    <pageSetUpPr fitToPage="1"/>
  </sheetPr>
  <dimension ref="A1:M39"/>
  <sheetViews>
    <sheetView view="pageBreakPreview" zoomScale="85" zoomScaleNormal="85" zoomScaleSheetLayoutView="85" workbookViewId="0">
      <selection activeCell="C12" sqref="C12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111</v>
      </c>
      <c r="E1" s="56">
        <v>46108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459.29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606.97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750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305.83999999999997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147.68</v>
      </c>
      <c r="C13" s="2" t="s">
        <v>4</v>
      </c>
      <c r="D13" s="50" t="s">
        <v>147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0.2</v>
      </c>
      <c r="G14" t="s">
        <v>17</v>
      </c>
    </row>
    <row r="15" spans="1:13" ht="15.75" thickBot="1" x14ac:dyDescent="0.3">
      <c r="A15" s="14" t="s">
        <v>18</v>
      </c>
      <c r="B15" s="54">
        <f>B13+E11</f>
        <v>452.68</v>
      </c>
      <c r="C15" s="2" t="s">
        <v>4</v>
      </c>
      <c r="D15" s="17" t="s">
        <v>19</v>
      </c>
      <c r="E15" s="18"/>
      <c r="F15" s="13">
        <v>350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300</v>
      </c>
      <c r="G16" t="s">
        <v>4</v>
      </c>
    </row>
    <row r="17" spans="1:8" ht="15.75" thickBot="1" x14ac:dyDescent="0.3">
      <c r="A17" s="9" t="s">
        <v>21</v>
      </c>
      <c r="B17" s="11">
        <v>40</v>
      </c>
      <c r="D17" s="21" t="s">
        <v>22</v>
      </c>
      <c r="E17" s="5"/>
      <c r="F17" s="13">
        <v>650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112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 t="s">
        <v>26</v>
      </c>
      <c r="C20" s="2"/>
      <c r="F20" s="2"/>
    </row>
    <row r="21" spans="1:8" ht="15.75" thickBot="1" x14ac:dyDescent="0.3">
      <c r="A21" s="9" t="s">
        <v>27</v>
      </c>
      <c r="B21" s="11">
        <v>1</v>
      </c>
      <c r="C21" s="57"/>
      <c r="D21" s="22" t="s">
        <v>28</v>
      </c>
      <c r="E21" s="23">
        <f>B9/B11</f>
        <v>2.4522626209782894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922.39170928694625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6.6100000000000136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0.18558016123285631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1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2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5.5674048369856894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3.2331042069046982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07652-B0CF-4AEF-AD88-D1E54656E9A6}">
  <sheetPr>
    <pageSetUpPr fitToPage="1"/>
  </sheetPr>
  <dimension ref="A1:M43"/>
  <sheetViews>
    <sheetView view="pageBreakPreview" zoomScale="85" zoomScaleNormal="85" zoomScaleSheetLayoutView="85" workbookViewId="0">
      <selection activeCell="C20" sqref="C20"/>
    </sheetView>
  </sheetViews>
  <sheetFormatPr defaultRowHeight="15" x14ac:dyDescent="0.25"/>
  <cols>
    <col min="1" max="1" width="41" customWidth="1"/>
    <col min="2" max="2" width="12.140625" customWidth="1"/>
    <col min="3" max="3" width="32.2851562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144</v>
      </c>
      <c r="E1" s="56">
        <v>46142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491.75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638.04999999999995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>
        <v>18</v>
      </c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550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144.88999999999999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146.29999999999995</v>
      </c>
      <c r="C13" s="2" t="s">
        <v>4</v>
      </c>
      <c r="D13" s="50" t="s">
        <v>146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4</v>
      </c>
      <c r="G14" t="s">
        <v>17</v>
      </c>
    </row>
    <row r="15" spans="1:13" ht="15.75" thickBot="1" x14ac:dyDescent="0.3">
      <c r="A15" s="14" t="s">
        <v>18</v>
      </c>
      <c r="B15" s="54">
        <f>B13+E11</f>
        <v>451.29999999999995</v>
      </c>
      <c r="C15" s="2" t="s">
        <v>4</v>
      </c>
      <c r="D15" s="17" t="s">
        <v>19</v>
      </c>
      <c r="E15" s="18"/>
      <c r="F15" s="13">
        <v>350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500</v>
      </c>
      <c r="G16" t="s">
        <v>4</v>
      </c>
    </row>
    <row r="17" spans="1:8" ht="15.75" thickBot="1" x14ac:dyDescent="0.3">
      <c r="A17" s="9" t="s">
        <v>21</v>
      </c>
      <c r="B17" s="11">
        <v>90</v>
      </c>
      <c r="D17" s="21" t="s">
        <v>22</v>
      </c>
      <c r="E17" s="5"/>
      <c r="F17" s="13">
        <v>850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145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x14ac:dyDescent="0.25">
      <c r="A20" s="6"/>
      <c r="B20" s="7" t="s">
        <v>26</v>
      </c>
      <c r="C20" s="2"/>
      <c r="F20" s="2"/>
    </row>
    <row r="21" spans="1:8" x14ac:dyDescent="0.25">
      <c r="A21" s="9" t="s">
        <v>27</v>
      </c>
      <c r="B21" s="11">
        <v>2</v>
      </c>
      <c r="C21" s="57"/>
      <c r="D21" s="2" t="s">
        <v>126</v>
      </c>
      <c r="E21">
        <v>2</v>
      </c>
    </row>
    <row r="22" spans="1:8" ht="15.75" thickBot="1" x14ac:dyDescent="0.3">
      <c r="A22" s="6"/>
      <c r="B22" s="7"/>
      <c r="D22" s="2" t="s">
        <v>127</v>
      </c>
      <c r="E22">
        <v>1100</v>
      </c>
    </row>
    <row r="23" spans="1:8" ht="15.75" thickBot="1" x14ac:dyDescent="0.3">
      <c r="A23" s="14" t="s">
        <v>29</v>
      </c>
      <c r="B23" s="48">
        <f>((((B17/2)*(B17/2)*PI())*B19)*B21/(B9/B11)/100)</f>
        <v>6033.2750387785027</v>
      </c>
      <c r="C23" s="2" t="s">
        <v>30</v>
      </c>
      <c r="D23" s="2" t="s">
        <v>128</v>
      </c>
      <c r="E23">
        <v>150</v>
      </c>
    </row>
    <row r="24" spans="1:8" ht="15.75" thickBot="1" x14ac:dyDescent="0.3">
      <c r="A24" s="6"/>
      <c r="B24" s="46"/>
      <c r="C24" s="2"/>
      <c r="D24" s="2" t="s">
        <v>129</v>
      </c>
      <c r="E24">
        <v>700</v>
      </c>
    </row>
    <row r="25" spans="1:8" ht="15.75" thickBot="1" x14ac:dyDescent="0.3">
      <c r="A25" s="14" t="s">
        <v>32</v>
      </c>
      <c r="B25" s="25">
        <f>B5-B15</f>
        <v>40.450000000000045</v>
      </c>
      <c r="C25" s="2" t="s">
        <v>4</v>
      </c>
    </row>
    <row r="26" spans="1:8" ht="15.75" thickBot="1" x14ac:dyDescent="0.3">
      <c r="A26" s="6"/>
      <c r="B26" s="7"/>
      <c r="C26" s="2"/>
    </row>
    <row r="27" spans="1:8" ht="15.75" thickBot="1" x14ac:dyDescent="0.3">
      <c r="A27" s="14" t="s">
        <v>34</v>
      </c>
      <c r="B27" s="25">
        <f>((((B17/2)/1000)*(((B17/2)/1000)*PI())*B13*B21))</f>
        <v>1.8614407711417558</v>
      </c>
      <c r="C27" s="2" t="s">
        <v>35</v>
      </c>
      <c r="D27" s="22" t="s">
        <v>28</v>
      </c>
      <c r="E27" s="23">
        <f>B9/B11</f>
        <v>3.7959831596383466</v>
      </c>
      <c r="F27" s="2"/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5</v>
      </c>
      <c r="C29" s="2" t="s">
        <v>39</v>
      </c>
      <c r="D29" s="24" t="s">
        <v>31</v>
      </c>
      <c r="E29" s="20">
        <v>14.43</v>
      </c>
      <c r="F29" s="2"/>
    </row>
    <row r="30" spans="1:8" ht="15.75" thickBot="1" x14ac:dyDescent="0.3">
      <c r="A30" s="6"/>
      <c r="B30" s="7"/>
      <c r="C30" s="2"/>
      <c r="F30" s="2"/>
    </row>
    <row r="31" spans="1:8" ht="15.75" thickBot="1" x14ac:dyDescent="0.3">
      <c r="A31" s="9" t="s">
        <v>41</v>
      </c>
      <c r="B31" s="28">
        <v>10</v>
      </c>
      <c r="C31" s="2" t="s">
        <v>42</v>
      </c>
      <c r="D31" s="24" t="s">
        <v>33</v>
      </c>
      <c r="E31" s="20">
        <v>5.64</v>
      </c>
      <c r="F31" s="2"/>
    </row>
    <row r="32" spans="1:8" ht="15.75" thickBot="1" x14ac:dyDescent="0.3">
      <c r="A32" s="6"/>
      <c r="B32" s="7"/>
      <c r="C32" s="2"/>
      <c r="D32" s="2"/>
      <c r="E32" s="2"/>
      <c r="F32" s="2"/>
    </row>
    <row r="33" spans="1:6" ht="15.75" thickBot="1" x14ac:dyDescent="0.3">
      <c r="A33" s="14" t="s">
        <v>45</v>
      </c>
      <c r="B33" s="25">
        <f>B27/(B31/60)</f>
        <v>11.168644626850535</v>
      </c>
      <c r="C33" s="2" t="s">
        <v>46</v>
      </c>
      <c r="D33" s="26" t="s">
        <v>36</v>
      </c>
      <c r="E33" s="27" t="e">
        <f>(B23/2)/(SIN(H19))</f>
        <v>#DIV/0!</v>
      </c>
      <c r="F33" s="2" t="s">
        <v>37</v>
      </c>
    </row>
    <row r="34" spans="1:6" ht="15.75" thickBot="1" x14ac:dyDescent="0.3">
      <c r="A34" s="6"/>
      <c r="B34" s="7"/>
      <c r="C34" s="2"/>
      <c r="D34" s="2"/>
      <c r="E34" s="2"/>
      <c r="F34" s="2"/>
    </row>
    <row r="35" spans="1:6" ht="15.75" thickBot="1" x14ac:dyDescent="0.3">
      <c r="A35" s="14" t="s">
        <v>48</v>
      </c>
      <c r="B35" s="25">
        <f>((F16/B33)*60)/1000</f>
        <v>2.6860913747651178</v>
      </c>
      <c r="C35" s="2" t="s">
        <v>49</v>
      </c>
      <c r="D35" s="26" t="s">
        <v>40</v>
      </c>
      <c r="E35" s="27" t="e">
        <f>(B23/4)/(SIN(H19))</f>
        <v>#DIV/0!</v>
      </c>
      <c r="F35" s="2" t="s">
        <v>37</v>
      </c>
    </row>
    <row r="36" spans="1:6" ht="15.75" thickBot="1" x14ac:dyDescent="0.3">
      <c r="A36" s="12"/>
      <c r="B36" s="39"/>
      <c r="D36" s="2"/>
      <c r="E36" s="2"/>
      <c r="F36" s="2"/>
    </row>
    <row r="37" spans="1:6" x14ac:dyDescent="0.25">
      <c r="B37" s="38"/>
      <c r="D37" s="29" t="s">
        <v>43</v>
      </c>
      <c r="E37" s="30"/>
      <c r="F37" s="31"/>
    </row>
    <row r="38" spans="1:6" x14ac:dyDescent="0.25">
      <c r="D38" s="32" t="s">
        <v>44</v>
      </c>
      <c r="E38" s="33"/>
      <c r="F38" s="34"/>
    </row>
    <row r="39" spans="1:6" ht="15.75" thickBot="1" x14ac:dyDescent="0.3">
      <c r="B39" s="43"/>
      <c r="D39" s="35" t="s">
        <v>47</v>
      </c>
      <c r="E39" s="36"/>
      <c r="F39" s="37"/>
    </row>
    <row r="41" spans="1:6" ht="15.75" thickBot="1" x14ac:dyDescent="0.3">
      <c r="D41" s="38" t="s">
        <v>50</v>
      </c>
      <c r="E41" s="38" t="s">
        <v>51</v>
      </c>
    </row>
    <row r="42" spans="1:6" ht="15.75" thickBot="1" x14ac:dyDescent="0.3">
      <c r="D42" s="40">
        <v>3.5</v>
      </c>
      <c r="E42" s="41">
        <f>D42*1.75</f>
        <v>6.125</v>
      </c>
    </row>
    <row r="43" spans="1:6" x14ac:dyDescent="0.25">
      <c r="D43" s="3" t="s">
        <v>52</v>
      </c>
      <c r="E43" s="42" t="s">
        <v>53</v>
      </c>
      <c r="F43" s="2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72" fitToWidth="0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0D8B7-60B1-431C-87D3-C08223F4097C}">
  <sheetPr>
    <pageSetUpPr fitToPage="1"/>
  </sheetPr>
  <dimension ref="A1:M43"/>
  <sheetViews>
    <sheetView view="pageBreakPreview" zoomScale="85" zoomScaleNormal="85" zoomScaleSheetLayoutView="85" workbookViewId="0">
      <selection activeCell="D15" sqref="D15"/>
    </sheetView>
  </sheetViews>
  <sheetFormatPr defaultRowHeight="15" x14ac:dyDescent="0.25"/>
  <cols>
    <col min="1" max="1" width="41" customWidth="1"/>
    <col min="2" max="2" width="12.140625" customWidth="1"/>
    <col min="3" max="3" width="32.2851562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140</v>
      </c>
      <c r="E1" s="56">
        <v>46135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797.8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1031.5899999999999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800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341.99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233.78999999999996</v>
      </c>
      <c r="C13" s="2" t="s">
        <v>4</v>
      </c>
      <c r="D13" s="50" t="s">
        <v>141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20</v>
      </c>
      <c r="G14" t="s">
        <v>17</v>
      </c>
    </row>
    <row r="15" spans="1:13" ht="15.75" thickBot="1" x14ac:dyDescent="0.3">
      <c r="A15" s="14" t="s">
        <v>18</v>
      </c>
      <c r="B15" s="54">
        <f>B13+E11</f>
        <v>538.79</v>
      </c>
      <c r="C15" s="2" t="s">
        <v>4</v>
      </c>
      <c r="D15" s="17" t="s">
        <v>19</v>
      </c>
      <c r="E15" s="18"/>
      <c r="F15" s="13">
        <v>871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504</v>
      </c>
      <c r="G16" t="s">
        <v>4</v>
      </c>
    </row>
    <row r="17" spans="1:8" ht="15.75" thickBot="1" x14ac:dyDescent="0.3">
      <c r="A17" s="9" t="s">
        <v>21</v>
      </c>
      <c r="B17" s="11">
        <v>100</v>
      </c>
      <c r="D17" s="21" t="s">
        <v>22</v>
      </c>
      <c r="E17" s="5"/>
      <c r="F17" s="13">
        <v>1375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142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x14ac:dyDescent="0.25">
      <c r="A20" s="6"/>
      <c r="B20" s="7" t="s">
        <v>26</v>
      </c>
      <c r="C20" s="2"/>
      <c r="F20" s="2"/>
    </row>
    <row r="21" spans="1:8" x14ac:dyDescent="0.25">
      <c r="A21" s="9" t="s">
        <v>27</v>
      </c>
      <c r="B21" s="11">
        <v>4</v>
      </c>
      <c r="C21" s="57"/>
      <c r="D21" s="2" t="s">
        <v>126</v>
      </c>
      <c r="E21">
        <v>4</v>
      </c>
    </row>
    <row r="22" spans="1:8" ht="15.75" thickBot="1" x14ac:dyDescent="0.3">
      <c r="A22" s="6"/>
      <c r="B22" s="7"/>
      <c r="D22" s="2" t="s">
        <v>127</v>
      </c>
      <c r="E22">
        <v>800</v>
      </c>
    </row>
    <row r="23" spans="1:8" ht="15.75" thickBot="1" x14ac:dyDescent="0.3">
      <c r="A23" s="14" t="s">
        <v>29</v>
      </c>
      <c r="B23" s="48">
        <f>((((B17/2)*(B17/2)*PI())*B19)*B21/(B9/B11)/100)</f>
        <v>24173.848611026398</v>
      </c>
      <c r="C23" s="2" t="s">
        <v>30</v>
      </c>
      <c r="D23" s="2" t="s">
        <v>128</v>
      </c>
      <c r="E23">
        <v>400</v>
      </c>
    </row>
    <row r="24" spans="1:8" ht="15.75" thickBot="1" x14ac:dyDescent="0.3">
      <c r="A24" s="6"/>
      <c r="B24" s="46"/>
      <c r="C24" s="2"/>
      <c r="D24" s="2" t="s">
        <v>129</v>
      </c>
      <c r="E24">
        <v>1100</v>
      </c>
    </row>
    <row r="25" spans="1:8" ht="15.75" thickBot="1" x14ac:dyDescent="0.3">
      <c r="A25" s="14" t="s">
        <v>32</v>
      </c>
      <c r="B25" s="25">
        <f>B5-B15</f>
        <v>259.01</v>
      </c>
      <c r="C25" s="2" t="s">
        <v>4</v>
      </c>
    </row>
    <row r="26" spans="1:8" ht="15.75" thickBot="1" x14ac:dyDescent="0.3">
      <c r="A26" s="6"/>
      <c r="B26" s="7"/>
      <c r="C26" s="2"/>
    </row>
    <row r="27" spans="1:8" ht="15.75" thickBot="1" x14ac:dyDescent="0.3">
      <c r="A27" s="14" t="s">
        <v>34</v>
      </c>
      <c r="B27" s="25">
        <f>((((B17/2)/1000)*(((B17/2)/1000)*PI())*B13*B21))</f>
        <v>7.3447294648275765</v>
      </c>
      <c r="C27" s="2" t="s">
        <v>35</v>
      </c>
      <c r="D27" s="22" t="s">
        <v>28</v>
      </c>
      <c r="E27" s="23">
        <f>B9/B11</f>
        <v>2.3392496856633236</v>
      </c>
      <c r="F27" s="2"/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25</v>
      </c>
      <c r="C29" s="2" t="s">
        <v>39</v>
      </c>
      <c r="D29" s="24" t="s">
        <v>31</v>
      </c>
      <c r="E29" s="20">
        <v>14.43</v>
      </c>
      <c r="F29" s="2"/>
    </row>
    <row r="30" spans="1:8" ht="15.75" thickBot="1" x14ac:dyDescent="0.3">
      <c r="A30" s="6"/>
      <c r="B30" s="7"/>
      <c r="C30" s="2"/>
      <c r="F30" s="2"/>
    </row>
    <row r="31" spans="1:8" ht="15.75" thickBot="1" x14ac:dyDescent="0.3">
      <c r="A31" s="9" t="s">
        <v>41</v>
      </c>
      <c r="B31" s="28">
        <v>50</v>
      </c>
      <c r="C31" s="2" t="s">
        <v>42</v>
      </c>
      <c r="D31" s="24" t="s">
        <v>33</v>
      </c>
      <c r="E31" s="20">
        <v>5.64</v>
      </c>
      <c r="F31" s="2"/>
    </row>
    <row r="32" spans="1:8" ht="15.75" thickBot="1" x14ac:dyDescent="0.3">
      <c r="A32" s="6"/>
      <c r="B32" s="7"/>
      <c r="C32" s="2"/>
      <c r="D32" s="2"/>
      <c r="E32" s="2"/>
      <c r="F32" s="2"/>
    </row>
    <row r="33" spans="1:6" ht="15.75" thickBot="1" x14ac:dyDescent="0.3">
      <c r="A33" s="14" t="s">
        <v>45</v>
      </c>
      <c r="B33" s="25">
        <f>B27/(B31/60)</f>
        <v>8.8136753577930911</v>
      </c>
      <c r="C33" s="2" t="s">
        <v>46</v>
      </c>
      <c r="D33" s="26" t="s">
        <v>36</v>
      </c>
      <c r="E33" s="27" t="e">
        <f>(B23/2)/(SIN(H19))</f>
        <v>#DIV/0!</v>
      </c>
      <c r="F33" s="2" t="s">
        <v>37</v>
      </c>
    </row>
    <row r="34" spans="1:6" ht="15.75" thickBot="1" x14ac:dyDescent="0.3">
      <c r="A34" s="6"/>
      <c r="B34" s="7"/>
      <c r="C34" s="2"/>
      <c r="D34" s="2"/>
      <c r="E34" s="2"/>
      <c r="F34" s="2"/>
    </row>
    <row r="35" spans="1:6" ht="15.75" thickBot="1" x14ac:dyDescent="0.3">
      <c r="A35" s="14" t="s">
        <v>48</v>
      </c>
      <c r="B35" s="25">
        <f>((F16/B33)*60)/1000</f>
        <v>3.4310317514998614</v>
      </c>
      <c r="C35" s="2" t="s">
        <v>49</v>
      </c>
      <c r="D35" s="26" t="s">
        <v>40</v>
      </c>
      <c r="E35" s="27" t="e">
        <f>(B23/4)/(SIN(H19))</f>
        <v>#DIV/0!</v>
      </c>
      <c r="F35" s="2" t="s">
        <v>37</v>
      </c>
    </row>
    <row r="36" spans="1:6" ht="15.75" thickBot="1" x14ac:dyDescent="0.3">
      <c r="A36" s="12"/>
      <c r="B36" s="39"/>
      <c r="D36" s="2"/>
      <c r="E36" s="2"/>
      <c r="F36" s="2"/>
    </row>
    <row r="37" spans="1:6" x14ac:dyDescent="0.25">
      <c r="B37" s="38"/>
      <c r="D37" s="29" t="s">
        <v>43</v>
      </c>
      <c r="E37" s="30"/>
      <c r="F37" s="31"/>
    </row>
    <row r="38" spans="1:6" x14ac:dyDescent="0.25">
      <c r="D38" s="32" t="s">
        <v>44</v>
      </c>
      <c r="E38" s="33"/>
      <c r="F38" s="34"/>
    </row>
    <row r="39" spans="1:6" ht="15.75" thickBot="1" x14ac:dyDescent="0.3">
      <c r="B39" s="43"/>
      <c r="D39" s="35" t="s">
        <v>47</v>
      </c>
      <c r="E39" s="36"/>
      <c r="F39" s="37"/>
    </row>
    <row r="41" spans="1:6" ht="15.75" thickBot="1" x14ac:dyDescent="0.3">
      <c r="D41" s="38" t="s">
        <v>50</v>
      </c>
      <c r="E41" s="38" t="s">
        <v>51</v>
      </c>
    </row>
    <row r="42" spans="1:6" ht="15.75" thickBot="1" x14ac:dyDescent="0.3">
      <c r="D42" s="40">
        <v>3.5</v>
      </c>
      <c r="E42" s="41">
        <f>D42*1.75</f>
        <v>6.125</v>
      </c>
    </row>
    <row r="43" spans="1:6" x14ac:dyDescent="0.25">
      <c r="D43" s="3" t="s">
        <v>52</v>
      </c>
      <c r="E43" s="42" t="s">
        <v>53</v>
      </c>
      <c r="F43" s="2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72" fitToWidth="0" orientation="landscape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BB38-407F-4B20-8572-A2F14ED01534}">
  <sheetPr>
    <pageSetUpPr fitToPage="1"/>
  </sheetPr>
  <dimension ref="A1:M43"/>
  <sheetViews>
    <sheetView view="pageBreakPreview" zoomScale="85" zoomScaleNormal="85" zoomScaleSheetLayoutView="85" workbookViewId="0">
      <selection activeCell="C7" sqref="C7"/>
    </sheetView>
  </sheetViews>
  <sheetFormatPr defaultRowHeight="15" x14ac:dyDescent="0.25"/>
  <cols>
    <col min="1" max="1" width="41" customWidth="1"/>
    <col min="2" max="2" width="12.140625" customWidth="1"/>
    <col min="3" max="3" width="32.2851562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139</v>
      </c>
      <c r="E1" s="56">
        <v>46134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356.68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606.03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331.8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117.36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249.34999999999997</v>
      </c>
      <c r="C13" s="2" t="s">
        <v>4</v>
      </c>
      <c r="D13" s="50" t="s">
        <v>137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60</v>
      </c>
      <c r="G14" t="s">
        <v>17</v>
      </c>
    </row>
    <row r="15" spans="1:13" ht="15.75" thickBot="1" x14ac:dyDescent="0.3">
      <c r="A15" s="14" t="s">
        <v>18</v>
      </c>
      <c r="B15" s="54">
        <f>B13+E11</f>
        <v>554.34999999999991</v>
      </c>
      <c r="C15" s="2" t="s">
        <v>4</v>
      </c>
      <c r="D15" s="17" t="s">
        <v>19</v>
      </c>
      <c r="E15" s="18"/>
      <c r="F15" s="13">
        <v>200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700</v>
      </c>
      <c r="G16" t="s">
        <v>4</v>
      </c>
    </row>
    <row r="17" spans="1:8" ht="15.75" thickBot="1" x14ac:dyDescent="0.3">
      <c r="A17" s="9" t="s">
        <v>21</v>
      </c>
      <c r="B17" s="11">
        <v>180</v>
      </c>
      <c r="D17" s="21" t="s">
        <v>22</v>
      </c>
      <c r="E17" s="5"/>
      <c r="F17" s="13">
        <v>900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136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x14ac:dyDescent="0.25">
      <c r="A20" s="6"/>
      <c r="B20" s="7" t="s">
        <v>26</v>
      </c>
      <c r="C20" s="2"/>
      <c r="F20" s="2"/>
    </row>
    <row r="21" spans="1:8" x14ac:dyDescent="0.25">
      <c r="A21" s="9" t="s">
        <v>27</v>
      </c>
      <c r="B21" s="11">
        <v>4</v>
      </c>
      <c r="C21" s="57"/>
      <c r="D21" s="2" t="s">
        <v>126</v>
      </c>
      <c r="E21">
        <v>4</v>
      </c>
    </row>
    <row r="22" spans="1:8" ht="15.75" thickBot="1" x14ac:dyDescent="0.3">
      <c r="A22" s="6"/>
      <c r="B22" s="7"/>
      <c r="D22" s="2" t="s">
        <v>127</v>
      </c>
      <c r="E22">
        <v>2000</v>
      </c>
    </row>
    <row r="23" spans="1:8" ht="15.75" thickBot="1" x14ac:dyDescent="0.3">
      <c r="A23" s="14" t="s">
        <v>29</v>
      </c>
      <c r="B23" s="48">
        <f>((((B17/2)*(B17/2)*PI())*B19)*B21/(B9/B11)/100)</f>
        <v>64805.386806182585</v>
      </c>
      <c r="C23" s="2" t="s">
        <v>30</v>
      </c>
      <c r="D23" s="2" t="s">
        <v>128</v>
      </c>
      <c r="E23">
        <v>950</v>
      </c>
    </row>
    <row r="24" spans="1:8" ht="15.75" thickBot="1" x14ac:dyDescent="0.3">
      <c r="A24" s="6"/>
      <c r="B24" s="46"/>
      <c r="C24" s="2"/>
      <c r="D24" s="2" t="s">
        <v>129</v>
      </c>
      <c r="E24">
        <v>2500</v>
      </c>
    </row>
    <row r="25" spans="1:8" ht="15.75" thickBot="1" x14ac:dyDescent="0.3">
      <c r="A25" s="14" t="s">
        <v>32</v>
      </c>
      <c r="B25" s="25">
        <f>B5-B15</f>
        <v>-197.6699999999999</v>
      </c>
      <c r="C25" s="2" t="s">
        <v>4</v>
      </c>
    </row>
    <row r="26" spans="1:8" ht="15.75" thickBot="1" x14ac:dyDescent="0.3">
      <c r="A26" s="6"/>
      <c r="B26" s="7"/>
      <c r="C26" s="2"/>
    </row>
    <row r="27" spans="1:8" ht="15.75" thickBot="1" x14ac:dyDescent="0.3">
      <c r="A27" s="14" t="s">
        <v>34</v>
      </c>
      <c r="B27" s="25">
        <f>((((B17/2)/1000)*(((B17/2)/1000)*PI())*B13*B21))</f>
        <v>25.380738552792721</v>
      </c>
      <c r="C27" s="2" t="s">
        <v>35</v>
      </c>
      <c r="D27" s="22" t="s">
        <v>28</v>
      </c>
      <c r="E27" s="23">
        <f>B9/B11</f>
        <v>2.8271983640081801</v>
      </c>
      <c r="F27" s="2"/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25</v>
      </c>
      <c r="C29" s="2" t="s">
        <v>39</v>
      </c>
      <c r="D29" s="24" t="s">
        <v>31</v>
      </c>
      <c r="E29" s="20">
        <v>14.43</v>
      </c>
      <c r="F29" s="2"/>
    </row>
    <row r="30" spans="1:8" ht="15.75" thickBot="1" x14ac:dyDescent="0.3">
      <c r="A30" s="6"/>
      <c r="B30" s="7"/>
      <c r="C30" s="2"/>
      <c r="F30" s="2"/>
    </row>
    <row r="31" spans="1:8" ht="15.75" thickBot="1" x14ac:dyDescent="0.3">
      <c r="A31" s="9" t="s">
        <v>41</v>
      </c>
      <c r="B31" s="28">
        <v>50</v>
      </c>
      <c r="C31" s="2" t="s">
        <v>42</v>
      </c>
      <c r="D31" s="24" t="s">
        <v>33</v>
      </c>
      <c r="E31" s="20">
        <v>5.64</v>
      </c>
      <c r="F31" s="2"/>
    </row>
    <row r="32" spans="1:8" ht="15.75" thickBot="1" x14ac:dyDescent="0.3">
      <c r="A32" s="6"/>
      <c r="B32" s="7"/>
      <c r="C32" s="2"/>
      <c r="D32" s="2"/>
      <c r="E32" s="2"/>
      <c r="F32" s="2"/>
    </row>
    <row r="33" spans="1:6" ht="15.75" thickBot="1" x14ac:dyDescent="0.3">
      <c r="A33" s="14" t="s">
        <v>45</v>
      </c>
      <c r="B33" s="25">
        <f>B27/(B31/60)</f>
        <v>30.456886263351265</v>
      </c>
      <c r="C33" s="2" t="s">
        <v>46</v>
      </c>
      <c r="D33" s="26" t="s">
        <v>36</v>
      </c>
      <c r="E33" s="27" t="e">
        <f>(B23/2)/(SIN(H19))</f>
        <v>#DIV/0!</v>
      </c>
      <c r="F33" s="2" t="s">
        <v>37</v>
      </c>
    </row>
    <row r="34" spans="1:6" ht="15.75" thickBot="1" x14ac:dyDescent="0.3">
      <c r="A34" s="6"/>
      <c r="B34" s="7"/>
      <c r="C34" s="2"/>
      <c r="D34" s="2"/>
      <c r="E34" s="2"/>
      <c r="F34" s="2"/>
    </row>
    <row r="35" spans="1:6" ht="15.75" thickBot="1" x14ac:dyDescent="0.3">
      <c r="A35" s="14" t="s">
        <v>48</v>
      </c>
      <c r="B35" s="25">
        <f>((F16/B33)*60)/1000</f>
        <v>1.3789984845081997</v>
      </c>
      <c r="C35" s="2" t="s">
        <v>49</v>
      </c>
      <c r="D35" s="26" t="s">
        <v>40</v>
      </c>
      <c r="E35" s="27" t="e">
        <f>(B23/4)/(SIN(H19))</f>
        <v>#DIV/0!</v>
      </c>
      <c r="F35" s="2" t="s">
        <v>37</v>
      </c>
    </row>
    <row r="36" spans="1:6" ht="15.75" thickBot="1" x14ac:dyDescent="0.3">
      <c r="A36" s="12"/>
      <c r="B36" s="39"/>
      <c r="D36" s="2"/>
      <c r="E36" s="2"/>
      <c r="F36" s="2"/>
    </row>
    <row r="37" spans="1:6" x14ac:dyDescent="0.25">
      <c r="B37" s="38"/>
      <c r="D37" s="29" t="s">
        <v>43</v>
      </c>
      <c r="E37" s="30"/>
      <c r="F37" s="31"/>
    </row>
    <row r="38" spans="1:6" x14ac:dyDescent="0.25">
      <c r="D38" s="32" t="s">
        <v>44</v>
      </c>
      <c r="E38" s="33"/>
      <c r="F38" s="34"/>
    </row>
    <row r="39" spans="1:6" ht="15.75" thickBot="1" x14ac:dyDescent="0.3">
      <c r="B39" s="43"/>
      <c r="D39" s="35" t="s">
        <v>47</v>
      </c>
      <c r="E39" s="36"/>
      <c r="F39" s="37"/>
    </row>
    <row r="41" spans="1:6" ht="15.75" thickBot="1" x14ac:dyDescent="0.3">
      <c r="D41" s="38" t="s">
        <v>50</v>
      </c>
      <c r="E41" s="38" t="s">
        <v>51</v>
      </c>
    </row>
    <row r="42" spans="1:6" ht="15.75" thickBot="1" x14ac:dyDescent="0.3">
      <c r="D42" s="40">
        <v>3.5</v>
      </c>
      <c r="E42" s="41">
        <f>D42*1.75</f>
        <v>6.125</v>
      </c>
    </row>
    <row r="43" spans="1:6" x14ac:dyDescent="0.25">
      <c r="D43" s="3" t="s">
        <v>52</v>
      </c>
      <c r="E43" s="42" t="s">
        <v>53</v>
      </c>
      <c r="F43" s="2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72" fitToWidth="0" orientation="landscape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5768D-9A29-4B36-B729-2911CF9EB222}">
  <sheetPr>
    <pageSetUpPr fitToPage="1"/>
  </sheetPr>
  <dimension ref="A1:M43"/>
  <sheetViews>
    <sheetView view="pageBreakPreview" zoomScale="85" zoomScaleNormal="85" zoomScaleSheetLayoutView="85" workbookViewId="0">
      <selection activeCell="C12" sqref="C12"/>
    </sheetView>
  </sheetViews>
  <sheetFormatPr defaultRowHeight="15" x14ac:dyDescent="0.25"/>
  <cols>
    <col min="1" max="1" width="41" customWidth="1"/>
    <col min="2" max="2" width="12.140625" customWidth="1"/>
    <col min="3" max="3" width="28.14062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135</v>
      </c>
      <c r="E1" s="56">
        <v>46134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1397.29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2427.89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1111.95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857.09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1030.5999999999999</v>
      </c>
      <c r="C13" s="2" t="s">
        <v>4</v>
      </c>
      <c r="D13" s="50" t="s">
        <v>137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60</v>
      </c>
      <c r="G14" t="s">
        <v>17</v>
      </c>
    </row>
    <row r="15" spans="1:13" ht="15.75" thickBot="1" x14ac:dyDescent="0.3">
      <c r="A15" s="14" t="s">
        <v>18</v>
      </c>
      <c r="B15" s="54">
        <f>B13+E11</f>
        <v>1335.6</v>
      </c>
      <c r="C15" s="2" t="s">
        <v>4</v>
      </c>
      <c r="D15" s="17" t="s">
        <v>19</v>
      </c>
      <c r="E15" s="18"/>
      <c r="F15" s="13">
        <v>1000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2000</v>
      </c>
      <c r="G16" t="s">
        <v>4</v>
      </c>
    </row>
    <row r="17" spans="1:8" ht="15.75" thickBot="1" x14ac:dyDescent="0.3">
      <c r="A17" s="9" t="s">
        <v>21</v>
      </c>
      <c r="B17" s="11">
        <v>140</v>
      </c>
      <c r="D17" s="21" t="s">
        <v>22</v>
      </c>
      <c r="E17" s="5"/>
      <c r="F17" s="13">
        <v>3000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136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x14ac:dyDescent="0.25">
      <c r="A20" s="6"/>
      <c r="B20" s="7" t="s">
        <v>26</v>
      </c>
      <c r="C20" s="2"/>
      <c r="F20" s="2"/>
    </row>
    <row r="21" spans="1:8" x14ac:dyDescent="0.25">
      <c r="A21" s="9" t="s">
        <v>27</v>
      </c>
      <c r="B21" s="11">
        <v>4</v>
      </c>
      <c r="C21" s="57"/>
      <c r="D21" s="2" t="s">
        <v>126</v>
      </c>
      <c r="E21">
        <v>4</v>
      </c>
    </row>
    <row r="22" spans="1:8" ht="15.75" thickBot="1" x14ac:dyDescent="0.3">
      <c r="A22" s="6"/>
      <c r="B22" s="7"/>
      <c r="D22" s="2" t="s">
        <v>127</v>
      </c>
      <c r="E22">
        <v>2000</v>
      </c>
    </row>
    <row r="23" spans="1:8" ht="15.75" thickBot="1" x14ac:dyDescent="0.3">
      <c r="A23" s="14" t="s">
        <v>29</v>
      </c>
      <c r="B23" s="48">
        <f>((((B17/2)*(B17/2)*PI())*B19)*B21/(B9/B11)/100)</f>
        <v>85431.812044224047</v>
      </c>
      <c r="C23" s="2" t="s">
        <v>30</v>
      </c>
      <c r="D23" s="2" t="s">
        <v>128</v>
      </c>
      <c r="E23">
        <v>950</v>
      </c>
    </row>
    <row r="24" spans="1:8" ht="15.75" thickBot="1" x14ac:dyDescent="0.3">
      <c r="A24" s="6"/>
      <c r="B24" s="46"/>
      <c r="C24" s="2"/>
      <c r="D24" s="2" t="s">
        <v>129</v>
      </c>
      <c r="E24">
        <v>2500</v>
      </c>
    </row>
    <row r="25" spans="1:8" ht="15.75" thickBot="1" x14ac:dyDescent="0.3">
      <c r="A25" s="14" t="s">
        <v>32</v>
      </c>
      <c r="B25" s="25">
        <f>B5-B15</f>
        <v>61.690000000000055</v>
      </c>
      <c r="C25" s="2" t="s">
        <v>4</v>
      </c>
    </row>
    <row r="26" spans="1:8" ht="15.75" thickBot="1" x14ac:dyDescent="0.3">
      <c r="A26" s="6"/>
      <c r="B26" s="7"/>
      <c r="C26" s="2"/>
    </row>
    <row r="27" spans="1:8" ht="15.75" thickBot="1" x14ac:dyDescent="0.3">
      <c r="A27" s="14" t="s">
        <v>34</v>
      </c>
      <c r="B27" s="25">
        <f>((((B17/2)/1000)*(((B17/2)/1000)*PI())*B13*B21))</f>
        <v>63.459417620276966</v>
      </c>
      <c r="C27" s="2" t="s">
        <v>35</v>
      </c>
      <c r="D27" s="22" t="s">
        <v>28</v>
      </c>
      <c r="E27" s="23">
        <f>B9/B11</f>
        <v>1.2973550035585528</v>
      </c>
      <c r="F27" s="2"/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25</v>
      </c>
      <c r="C29" s="2" t="s">
        <v>39</v>
      </c>
      <c r="D29" s="24" t="s">
        <v>31</v>
      </c>
      <c r="E29" s="20">
        <v>14.43</v>
      </c>
      <c r="F29" s="2"/>
    </row>
    <row r="30" spans="1:8" ht="15.75" thickBot="1" x14ac:dyDescent="0.3">
      <c r="A30" s="6"/>
      <c r="B30" s="7"/>
      <c r="C30" s="2"/>
      <c r="F30" s="2"/>
    </row>
    <row r="31" spans="1:8" ht="15.75" thickBot="1" x14ac:dyDescent="0.3">
      <c r="A31" s="9" t="s">
        <v>41</v>
      </c>
      <c r="B31" s="28">
        <v>50</v>
      </c>
      <c r="C31" s="2" t="s">
        <v>42</v>
      </c>
      <c r="D31" s="24" t="s">
        <v>33</v>
      </c>
      <c r="E31" s="20">
        <v>5.64</v>
      </c>
      <c r="F31" s="2"/>
    </row>
    <row r="32" spans="1:8" ht="15.75" thickBot="1" x14ac:dyDescent="0.3">
      <c r="A32" s="6"/>
      <c r="B32" s="7"/>
      <c r="C32" s="2"/>
      <c r="D32" s="2"/>
      <c r="E32" s="2"/>
      <c r="F32" s="2"/>
    </row>
    <row r="33" spans="1:6" ht="15.75" thickBot="1" x14ac:dyDescent="0.3">
      <c r="A33" s="14" t="s">
        <v>45</v>
      </c>
      <c r="B33" s="25">
        <f>B27/(B31/60)</f>
        <v>76.151301144332351</v>
      </c>
      <c r="C33" s="2" t="s">
        <v>46</v>
      </c>
      <c r="D33" s="26" t="s">
        <v>36</v>
      </c>
      <c r="E33" s="27" t="e">
        <f>(B23/2)/(SIN(H19))</f>
        <v>#DIV/0!</v>
      </c>
      <c r="F33" s="2" t="s">
        <v>37</v>
      </c>
    </row>
    <row r="34" spans="1:6" ht="15.75" thickBot="1" x14ac:dyDescent="0.3">
      <c r="A34" s="6"/>
      <c r="B34" s="7"/>
      <c r="C34" s="2"/>
      <c r="D34" s="2"/>
      <c r="E34" s="2"/>
      <c r="F34" s="2"/>
    </row>
    <row r="35" spans="1:6" ht="15.75" thickBot="1" x14ac:dyDescent="0.3">
      <c r="A35" s="14" t="s">
        <v>48</v>
      </c>
      <c r="B35" s="25">
        <f>((F16/B33)*60)/1000</f>
        <v>1.5758102382592203</v>
      </c>
      <c r="C35" s="2" t="s">
        <v>49</v>
      </c>
      <c r="D35" s="26" t="s">
        <v>40</v>
      </c>
      <c r="E35" s="27" t="e">
        <f>(B23/4)/(SIN(H19))</f>
        <v>#DIV/0!</v>
      </c>
      <c r="F35" s="2" t="s">
        <v>37</v>
      </c>
    </row>
    <row r="36" spans="1:6" ht="15.75" thickBot="1" x14ac:dyDescent="0.3">
      <c r="A36" s="12"/>
      <c r="B36" s="39"/>
      <c r="D36" s="2"/>
      <c r="E36" s="2"/>
      <c r="F36" s="2"/>
    </row>
    <row r="37" spans="1:6" x14ac:dyDescent="0.25">
      <c r="B37" s="38"/>
      <c r="D37" s="29" t="s">
        <v>43</v>
      </c>
      <c r="E37" s="30"/>
      <c r="F37" s="31"/>
    </row>
    <row r="38" spans="1:6" x14ac:dyDescent="0.25">
      <c r="D38" s="32" t="s">
        <v>44</v>
      </c>
      <c r="E38" s="33"/>
      <c r="F38" s="34"/>
    </row>
    <row r="39" spans="1:6" ht="15.75" thickBot="1" x14ac:dyDescent="0.3">
      <c r="B39" s="43"/>
      <c r="D39" s="35" t="s">
        <v>47</v>
      </c>
      <c r="E39" s="36"/>
      <c r="F39" s="37"/>
    </row>
    <row r="41" spans="1:6" ht="15.75" thickBot="1" x14ac:dyDescent="0.3">
      <c r="D41" s="38" t="s">
        <v>50</v>
      </c>
      <c r="E41" s="38" t="s">
        <v>51</v>
      </c>
    </row>
    <row r="42" spans="1:6" ht="15.75" thickBot="1" x14ac:dyDescent="0.3">
      <c r="D42" s="40">
        <v>3.5</v>
      </c>
      <c r="E42" s="41">
        <f>D42*1.75</f>
        <v>6.125</v>
      </c>
    </row>
    <row r="43" spans="1:6" x14ac:dyDescent="0.25">
      <c r="D43" s="3" t="s">
        <v>52</v>
      </c>
      <c r="E43" s="42" t="s">
        <v>53</v>
      </c>
      <c r="F43" s="2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72" fitToWidth="0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E2F9B-0C13-4096-83A5-DFF75FE5B7E1}">
  <sheetPr>
    <pageSetUpPr fitToPage="1"/>
  </sheetPr>
  <dimension ref="A1:M43"/>
  <sheetViews>
    <sheetView view="pageBreakPreview" zoomScale="85" zoomScaleNormal="85" zoomScaleSheetLayoutView="85" workbookViewId="0">
      <selection activeCell="F14" sqref="F14"/>
    </sheetView>
  </sheetViews>
  <sheetFormatPr defaultRowHeight="15" x14ac:dyDescent="0.25"/>
  <cols>
    <col min="1" max="1" width="41" customWidth="1"/>
    <col min="2" max="2" width="12.140625" customWidth="1"/>
    <col min="3" max="3" width="28.14062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131</v>
      </c>
      <c r="E1" s="56">
        <v>46133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450.95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556.66999999999996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475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99.07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105.71999999999997</v>
      </c>
      <c r="C13" s="2" t="s">
        <v>4</v>
      </c>
      <c r="D13" s="50" t="s">
        <v>133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1.5</v>
      </c>
      <c r="G14" t="s">
        <v>17</v>
      </c>
    </row>
    <row r="15" spans="1:13" ht="15.75" thickBot="1" x14ac:dyDescent="0.3">
      <c r="A15" s="14" t="s">
        <v>18</v>
      </c>
      <c r="B15" s="54">
        <f>B13+E11</f>
        <v>410.71999999999997</v>
      </c>
      <c r="C15" s="2" t="s">
        <v>4</v>
      </c>
      <c r="D15" s="17" t="s">
        <v>19</v>
      </c>
      <c r="E15" s="18"/>
      <c r="F15" s="13">
        <v>250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500</v>
      </c>
      <c r="G16" t="s">
        <v>4</v>
      </c>
    </row>
    <row r="17" spans="1:8" ht="15.75" thickBot="1" x14ac:dyDescent="0.3">
      <c r="A17" s="9" t="s">
        <v>21</v>
      </c>
      <c r="B17" s="11">
        <v>50.8</v>
      </c>
      <c r="D17" s="21" t="s">
        <v>22</v>
      </c>
      <c r="E17" s="5"/>
      <c r="F17" s="13">
        <v>750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132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x14ac:dyDescent="0.25">
      <c r="A20" s="6"/>
      <c r="B20" s="7" t="s">
        <v>26</v>
      </c>
      <c r="C20" s="2"/>
      <c r="F20" s="2"/>
    </row>
    <row r="21" spans="1:8" x14ac:dyDescent="0.25">
      <c r="A21" s="9" t="s">
        <v>27</v>
      </c>
      <c r="B21" s="11">
        <v>2</v>
      </c>
      <c r="C21" s="57"/>
      <c r="D21" s="2" t="s">
        <v>126</v>
      </c>
    </row>
    <row r="22" spans="1:8" ht="15.75" thickBot="1" x14ac:dyDescent="0.3">
      <c r="A22" s="6"/>
      <c r="B22" s="7"/>
      <c r="D22" s="2" t="s">
        <v>127</v>
      </c>
    </row>
    <row r="23" spans="1:8" ht="15.75" thickBot="1" x14ac:dyDescent="0.3">
      <c r="A23" s="14" t="s">
        <v>29</v>
      </c>
      <c r="B23" s="48">
        <f>((((B17/2)*(B17/2)*PI())*B19)*B21/(B9/B11)/100)</f>
        <v>1521.8377754533117</v>
      </c>
      <c r="C23" s="2" t="s">
        <v>30</v>
      </c>
      <c r="D23" s="2" t="s">
        <v>128</v>
      </c>
    </row>
    <row r="24" spans="1:8" ht="15.75" thickBot="1" x14ac:dyDescent="0.3">
      <c r="A24" s="6"/>
      <c r="B24" s="46"/>
      <c r="C24" s="2"/>
      <c r="D24" s="2" t="s">
        <v>129</v>
      </c>
    </row>
    <row r="25" spans="1:8" ht="15.75" thickBot="1" x14ac:dyDescent="0.3">
      <c r="A25" s="14" t="s">
        <v>32</v>
      </c>
      <c r="B25" s="25">
        <f>B5-B15</f>
        <v>40.230000000000018</v>
      </c>
      <c r="C25" s="2" t="s">
        <v>4</v>
      </c>
    </row>
    <row r="26" spans="1:8" ht="15.75" thickBot="1" x14ac:dyDescent="0.3">
      <c r="A26" s="6"/>
      <c r="B26" s="7"/>
      <c r="C26" s="2"/>
    </row>
    <row r="27" spans="1:8" ht="15.75" thickBot="1" x14ac:dyDescent="0.3">
      <c r="A27" s="14" t="s">
        <v>34</v>
      </c>
      <c r="B27" s="25">
        <f>((((B17/2)/1000)*(((B17/2)/1000)*PI())*B13*B21))</f>
        <v>0.42855291752149954</v>
      </c>
      <c r="C27" s="2" t="s">
        <v>35</v>
      </c>
      <c r="D27" s="22" t="s">
        <v>28</v>
      </c>
      <c r="E27" s="23">
        <f>B9/B11</f>
        <v>4.7945896840617745</v>
      </c>
      <c r="F27" s="2"/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2</v>
      </c>
      <c r="C29" s="2" t="s">
        <v>39</v>
      </c>
      <c r="D29" s="24" t="s">
        <v>31</v>
      </c>
      <c r="E29" s="20">
        <v>14.43</v>
      </c>
      <c r="F29" s="2"/>
    </row>
    <row r="30" spans="1:8" ht="15.75" thickBot="1" x14ac:dyDescent="0.3">
      <c r="A30" s="6"/>
      <c r="B30" s="7"/>
      <c r="C30" s="2"/>
      <c r="F30" s="2"/>
    </row>
    <row r="31" spans="1:8" ht="15.75" thickBot="1" x14ac:dyDescent="0.3">
      <c r="A31" s="9" t="s">
        <v>41</v>
      </c>
      <c r="B31" s="28">
        <v>4</v>
      </c>
      <c r="C31" s="2" t="s">
        <v>42</v>
      </c>
      <c r="D31" s="24" t="s">
        <v>33</v>
      </c>
      <c r="E31" s="20">
        <v>5.64</v>
      </c>
      <c r="F31" s="2"/>
    </row>
    <row r="32" spans="1:8" ht="15.75" thickBot="1" x14ac:dyDescent="0.3">
      <c r="A32" s="6"/>
      <c r="B32" s="7"/>
      <c r="C32" s="2"/>
      <c r="D32" s="2"/>
      <c r="E32" s="2"/>
      <c r="F32" s="2"/>
    </row>
    <row r="33" spans="1:6" ht="15.75" thickBot="1" x14ac:dyDescent="0.3">
      <c r="A33" s="14" t="s">
        <v>45</v>
      </c>
      <c r="B33" s="25">
        <f>B27/(B31/60)</f>
        <v>6.4282937628224932</v>
      </c>
      <c r="C33" s="2" t="s">
        <v>46</v>
      </c>
      <c r="D33" s="26" t="s">
        <v>36</v>
      </c>
      <c r="E33" s="27" t="e">
        <f>(B23/2)/(SIN(H19))</f>
        <v>#DIV/0!</v>
      </c>
      <c r="F33" s="2" t="s">
        <v>37</v>
      </c>
    </row>
    <row r="34" spans="1:6" ht="15.75" thickBot="1" x14ac:dyDescent="0.3">
      <c r="A34" s="6"/>
      <c r="B34" s="7"/>
      <c r="C34" s="2"/>
      <c r="D34" s="2"/>
      <c r="E34" s="2"/>
      <c r="F34" s="2"/>
    </row>
    <row r="35" spans="1:6" ht="15.75" thickBot="1" x14ac:dyDescent="0.3">
      <c r="A35" s="14" t="s">
        <v>48</v>
      </c>
      <c r="B35" s="25">
        <f>((F16/B33)*60)/1000</f>
        <v>4.6668682401390127</v>
      </c>
      <c r="C35" s="2" t="s">
        <v>49</v>
      </c>
      <c r="D35" s="26" t="s">
        <v>40</v>
      </c>
      <c r="E35" s="27" t="e">
        <f>(B23/4)/(SIN(H19))</f>
        <v>#DIV/0!</v>
      </c>
      <c r="F35" s="2" t="s">
        <v>37</v>
      </c>
    </row>
    <row r="36" spans="1:6" ht="15.75" thickBot="1" x14ac:dyDescent="0.3">
      <c r="A36" s="12"/>
      <c r="B36" s="39"/>
      <c r="D36" s="2"/>
      <c r="E36" s="2"/>
      <c r="F36" s="2"/>
    </row>
    <row r="37" spans="1:6" x14ac:dyDescent="0.25">
      <c r="B37" s="38"/>
      <c r="D37" s="29" t="s">
        <v>43</v>
      </c>
      <c r="E37" s="30"/>
      <c r="F37" s="31"/>
    </row>
    <row r="38" spans="1:6" x14ac:dyDescent="0.25">
      <c r="D38" s="32" t="s">
        <v>44</v>
      </c>
      <c r="E38" s="33"/>
      <c r="F38" s="34"/>
    </row>
    <row r="39" spans="1:6" ht="15.75" thickBot="1" x14ac:dyDescent="0.3">
      <c r="B39" s="43"/>
      <c r="D39" s="35" t="s">
        <v>47</v>
      </c>
      <c r="E39" s="36"/>
      <c r="F39" s="37"/>
    </row>
    <row r="41" spans="1:6" ht="15.75" thickBot="1" x14ac:dyDescent="0.3">
      <c r="D41" s="38" t="s">
        <v>50</v>
      </c>
      <c r="E41" s="38" t="s">
        <v>51</v>
      </c>
    </row>
    <row r="42" spans="1:6" ht="15.75" thickBot="1" x14ac:dyDescent="0.3">
      <c r="D42" s="40">
        <v>3.5</v>
      </c>
      <c r="E42" s="41">
        <f>D42*1.75</f>
        <v>6.125</v>
      </c>
    </row>
    <row r="43" spans="1:6" x14ac:dyDescent="0.25">
      <c r="D43" s="3" t="s">
        <v>52</v>
      </c>
      <c r="E43" s="42" t="s">
        <v>53</v>
      </c>
      <c r="F43" s="2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72" fitToWidth="0" orientation="landscape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DB3B9-1052-46F9-9961-BA0EFE7DAFAB}">
  <sheetPr>
    <pageSetUpPr fitToPage="1"/>
  </sheetPr>
  <dimension ref="A1:M43"/>
  <sheetViews>
    <sheetView view="pageBreakPreview" topLeftCell="A10" zoomScale="85" zoomScaleNormal="85" zoomScaleSheetLayoutView="85" workbookViewId="0">
      <selection activeCell="B18" sqref="B18"/>
    </sheetView>
  </sheetViews>
  <sheetFormatPr defaultRowHeight="15" x14ac:dyDescent="0.25"/>
  <cols>
    <col min="1" max="1" width="41" customWidth="1"/>
    <col min="2" max="2" width="12.140625" customWidth="1"/>
    <col min="3" max="3" width="28.14062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130</v>
      </c>
      <c r="E1" s="56">
        <v>46133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423.03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515.82000000000005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500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106.46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92.790000000000077</v>
      </c>
      <c r="C13" s="2" t="s">
        <v>4</v>
      </c>
      <c r="D13" s="50" t="s">
        <v>143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0.2</v>
      </c>
      <c r="G14" t="s">
        <v>17</v>
      </c>
    </row>
    <row r="15" spans="1:13" ht="15.75" thickBot="1" x14ac:dyDescent="0.3">
      <c r="A15" s="14" t="s">
        <v>18</v>
      </c>
      <c r="B15" s="54">
        <f>B13+E11</f>
        <v>397.79000000000008</v>
      </c>
      <c r="C15" s="2" t="s">
        <v>4</v>
      </c>
      <c r="D15" s="17" t="s">
        <v>19</v>
      </c>
      <c r="E15" s="18"/>
      <c r="F15" s="13">
        <v>240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360</v>
      </c>
      <c r="G16" t="s">
        <v>4</v>
      </c>
    </row>
    <row r="17" spans="1:8" ht="15.75" thickBot="1" x14ac:dyDescent="0.3">
      <c r="A17" s="9" t="s">
        <v>21</v>
      </c>
      <c r="B17" s="11">
        <v>50</v>
      </c>
      <c r="D17" s="21" t="s">
        <v>22</v>
      </c>
      <c r="E17" s="5"/>
      <c r="F17" s="13">
        <v>600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134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x14ac:dyDescent="0.25">
      <c r="A20" s="6"/>
      <c r="B20" s="7" t="s">
        <v>26</v>
      </c>
      <c r="C20" s="2"/>
      <c r="F20" s="2"/>
    </row>
    <row r="21" spans="1:8" x14ac:dyDescent="0.25">
      <c r="A21" s="9" t="s">
        <v>27</v>
      </c>
      <c r="B21" s="11">
        <v>1</v>
      </c>
      <c r="C21" s="57"/>
      <c r="D21" s="2" t="s">
        <v>126</v>
      </c>
      <c r="E21">
        <v>1</v>
      </c>
    </row>
    <row r="22" spans="1:8" ht="15.75" thickBot="1" x14ac:dyDescent="0.3">
      <c r="A22" s="6"/>
      <c r="B22" s="7"/>
      <c r="D22" s="2" t="s">
        <v>127</v>
      </c>
      <c r="E22">
        <v>1000</v>
      </c>
    </row>
    <row r="23" spans="1:8" ht="15.75" thickBot="1" x14ac:dyDescent="0.3">
      <c r="A23" s="14" t="s">
        <v>29</v>
      </c>
      <c r="B23" s="48">
        <f>((((B17/2)*(B17/2)*PI())*B19)*B21/(B9/B11)/100)</f>
        <v>752.52139627763108</v>
      </c>
      <c r="C23" s="2" t="s">
        <v>30</v>
      </c>
      <c r="D23" s="2" t="s">
        <v>128</v>
      </c>
      <c r="E23">
        <v>125</v>
      </c>
    </row>
    <row r="24" spans="1:8" ht="15.75" thickBot="1" x14ac:dyDescent="0.3">
      <c r="A24" s="6"/>
      <c r="B24" s="46"/>
      <c r="C24" s="2"/>
      <c r="D24" s="2" t="s">
        <v>129</v>
      </c>
      <c r="E24">
        <v>600</v>
      </c>
    </row>
    <row r="25" spans="1:8" ht="15.75" thickBot="1" x14ac:dyDescent="0.3">
      <c r="A25" s="14" t="s">
        <v>32</v>
      </c>
      <c r="B25" s="25">
        <f>B5-B15</f>
        <v>25.239999999999895</v>
      </c>
      <c r="C25" s="2" t="s">
        <v>4</v>
      </c>
    </row>
    <row r="26" spans="1:8" ht="15.75" thickBot="1" x14ac:dyDescent="0.3">
      <c r="A26" s="6"/>
      <c r="B26" s="7"/>
      <c r="C26" s="2"/>
    </row>
    <row r="27" spans="1:8" ht="15.75" thickBot="1" x14ac:dyDescent="0.3">
      <c r="A27" s="14" t="s">
        <v>34</v>
      </c>
      <c r="B27" s="25">
        <f>((((B17/2)/1000)*(((B17/2)/1000)*PI())*B13*B21))</f>
        <v>0.18219273895412325</v>
      </c>
      <c r="C27" s="2" t="s">
        <v>35</v>
      </c>
      <c r="D27" s="22" t="s">
        <v>28</v>
      </c>
      <c r="E27" s="23">
        <f>B9/B11</f>
        <v>4.6965996618448242</v>
      </c>
      <c r="F27" s="2"/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1</v>
      </c>
      <c r="C29" s="2" t="s">
        <v>39</v>
      </c>
      <c r="D29" s="24" t="s">
        <v>31</v>
      </c>
      <c r="E29" s="20">
        <v>14.43</v>
      </c>
      <c r="F29" s="2"/>
    </row>
    <row r="30" spans="1:8" ht="15.75" thickBot="1" x14ac:dyDescent="0.3">
      <c r="A30" s="6"/>
      <c r="B30" s="7"/>
      <c r="C30" s="2"/>
      <c r="F30" s="2"/>
    </row>
    <row r="31" spans="1:8" ht="15.75" thickBot="1" x14ac:dyDescent="0.3">
      <c r="A31" s="9" t="s">
        <v>41</v>
      </c>
      <c r="B31" s="28">
        <v>2</v>
      </c>
      <c r="C31" s="2" t="s">
        <v>42</v>
      </c>
      <c r="D31" s="24" t="s">
        <v>33</v>
      </c>
      <c r="E31" s="20">
        <v>5.64</v>
      </c>
      <c r="F31" s="2"/>
    </row>
    <row r="32" spans="1:8" ht="15.75" thickBot="1" x14ac:dyDescent="0.3">
      <c r="A32" s="6"/>
      <c r="B32" s="7"/>
      <c r="C32" s="2"/>
      <c r="D32" s="2"/>
      <c r="E32" s="2"/>
      <c r="F32" s="2"/>
    </row>
    <row r="33" spans="1:6" ht="15.75" thickBot="1" x14ac:dyDescent="0.3">
      <c r="A33" s="14" t="s">
        <v>45</v>
      </c>
      <c r="B33" s="25">
        <f>B27/(B31/60)</f>
        <v>5.4657821686236971</v>
      </c>
      <c r="C33" s="2" t="s">
        <v>46</v>
      </c>
      <c r="D33" s="26" t="s">
        <v>36</v>
      </c>
      <c r="E33" s="27" t="e">
        <f>(B23/2)/(SIN(H19))</f>
        <v>#DIV/0!</v>
      </c>
      <c r="F33" s="2" t="s">
        <v>37</v>
      </c>
    </row>
    <row r="34" spans="1:6" ht="15.75" thickBot="1" x14ac:dyDescent="0.3">
      <c r="A34" s="6"/>
      <c r="B34" s="7"/>
      <c r="C34" s="2"/>
      <c r="D34" s="2"/>
      <c r="E34" s="2"/>
      <c r="F34" s="2"/>
    </row>
    <row r="35" spans="1:6" ht="15.75" thickBot="1" x14ac:dyDescent="0.3">
      <c r="A35" s="14" t="s">
        <v>48</v>
      </c>
      <c r="B35" s="25">
        <f>((F16/B33)*60)/1000</f>
        <v>3.9518589167337703</v>
      </c>
      <c r="C35" s="2" t="s">
        <v>49</v>
      </c>
      <c r="D35" s="26" t="s">
        <v>40</v>
      </c>
      <c r="E35" s="27" t="e">
        <f>(B23/4)/(SIN(H19))</f>
        <v>#DIV/0!</v>
      </c>
      <c r="F35" s="2" t="s">
        <v>37</v>
      </c>
    </row>
    <row r="36" spans="1:6" ht="15.75" thickBot="1" x14ac:dyDescent="0.3">
      <c r="A36" s="12"/>
      <c r="B36" s="39"/>
      <c r="D36" s="2"/>
      <c r="E36" s="2"/>
      <c r="F36" s="2"/>
    </row>
    <row r="37" spans="1:6" x14ac:dyDescent="0.25">
      <c r="B37" s="38"/>
      <c r="D37" s="29" t="s">
        <v>43</v>
      </c>
      <c r="E37" s="30"/>
      <c r="F37" s="31"/>
    </row>
    <row r="38" spans="1:6" x14ac:dyDescent="0.25">
      <c r="D38" s="32" t="s">
        <v>44</v>
      </c>
      <c r="E38" s="33"/>
      <c r="F38" s="34"/>
    </row>
    <row r="39" spans="1:6" ht="15.75" thickBot="1" x14ac:dyDescent="0.3">
      <c r="B39" s="43"/>
      <c r="D39" s="35" t="s">
        <v>47</v>
      </c>
      <c r="E39" s="36"/>
      <c r="F39" s="37"/>
    </row>
    <row r="41" spans="1:6" ht="15.75" thickBot="1" x14ac:dyDescent="0.3">
      <c r="D41" s="38" t="s">
        <v>50</v>
      </c>
      <c r="E41" s="38" t="s">
        <v>51</v>
      </c>
    </row>
    <row r="42" spans="1:6" ht="15.75" thickBot="1" x14ac:dyDescent="0.3">
      <c r="D42" s="40">
        <v>3.5</v>
      </c>
      <c r="E42" s="41">
        <f>D42*1.75</f>
        <v>6.125</v>
      </c>
    </row>
    <row r="43" spans="1:6" x14ac:dyDescent="0.25">
      <c r="D43" s="3" t="s">
        <v>52</v>
      </c>
      <c r="E43" s="42" t="s">
        <v>53</v>
      </c>
      <c r="F43" s="2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72" fitToWidth="0" orientation="landscape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B1827-A681-42EF-BF09-0708FC7E06C3}">
  <sheetPr>
    <pageSetUpPr fitToPage="1"/>
  </sheetPr>
  <dimension ref="A1:M43"/>
  <sheetViews>
    <sheetView view="pageBreakPreview" zoomScale="85" zoomScaleNormal="85" zoomScaleSheetLayoutView="85" workbookViewId="0">
      <selection activeCell="F16" sqref="F16"/>
    </sheetView>
  </sheetViews>
  <sheetFormatPr defaultRowHeight="15" x14ac:dyDescent="0.25"/>
  <cols>
    <col min="1" max="1" width="41" customWidth="1"/>
    <col min="2" max="2" width="12.140625" customWidth="1"/>
    <col min="3" max="3" width="28.14062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124</v>
      </c>
      <c r="E1" s="56">
        <v>46129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603.82000000000005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898.46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567.39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150.75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294.64</v>
      </c>
      <c r="C13" s="2" t="s">
        <v>4</v>
      </c>
      <c r="D13" s="50" t="s">
        <v>125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17</v>
      </c>
      <c r="G14" t="s">
        <v>17</v>
      </c>
    </row>
    <row r="15" spans="1:13" ht="15.75" thickBot="1" x14ac:dyDescent="0.3">
      <c r="A15" s="14" t="s">
        <v>18</v>
      </c>
      <c r="B15" s="54">
        <f>B13+E11</f>
        <v>599.64</v>
      </c>
      <c r="C15" s="2" t="s">
        <v>4</v>
      </c>
      <c r="D15" s="17" t="s">
        <v>19</v>
      </c>
      <c r="E15" s="18"/>
      <c r="F15" s="13">
        <v>350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650</v>
      </c>
      <c r="G16" t="s">
        <v>4</v>
      </c>
    </row>
    <row r="17" spans="1:8" ht="15.75" thickBot="1" x14ac:dyDescent="0.3">
      <c r="A17" s="9" t="s">
        <v>21</v>
      </c>
      <c r="B17" s="11">
        <v>110</v>
      </c>
      <c r="D17" s="21" t="s">
        <v>22</v>
      </c>
      <c r="E17" s="5"/>
      <c r="F17" s="13">
        <v>1000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138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x14ac:dyDescent="0.25">
      <c r="A20" s="6"/>
      <c r="B20" s="7" t="s">
        <v>26</v>
      </c>
      <c r="C20" s="2"/>
      <c r="F20" s="2"/>
    </row>
    <row r="21" spans="1:8" x14ac:dyDescent="0.25">
      <c r="A21" s="9" t="s">
        <v>27</v>
      </c>
      <c r="B21" s="11">
        <v>4</v>
      </c>
      <c r="C21" s="57"/>
      <c r="D21" s="2" t="s">
        <v>126</v>
      </c>
    </row>
    <row r="22" spans="1:8" ht="15.75" thickBot="1" x14ac:dyDescent="0.3">
      <c r="A22" s="6"/>
      <c r="B22" s="7"/>
      <c r="D22" s="2" t="s">
        <v>127</v>
      </c>
    </row>
    <row r="23" spans="1:8" ht="15.75" thickBot="1" x14ac:dyDescent="0.3">
      <c r="A23" s="14" t="s">
        <v>29</v>
      </c>
      <c r="B23" s="48">
        <f>((((B17/2)*(B17/2)*PI())*B19)*B21/(B9/B11)/100)</f>
        <v>18179.560999091005</v>
      </c>
      <c r="C23" s="2" t="s">
        <v>30</v>
      </c>
      <c r="D23" s="2" t="s">
        <v>128</v>
      </c>
    </row>
    <row r="24" spans="1:8" ht="15.75" thickBot="1" x14ac:dyDescent="0.3">
      <c r="A24" s="6"/>
      <c r="B24" s="46"/>
      <c r="C24" s="2"/>
      <c r="D24" s="2" t="s">
        <v>129</v>
      </c>
    </row>
    <row r="25" spans="1:8" ht="15.75" thickBot="1" x14ac:dyDescent="0.3">
      <c r="A25" s="14" t="s">
        <v>32</v>
      </c>
      <c r="B25" s="25">
        <f>B5-B15</f>
        <v>4.1800000000000637</v>
      </c>
      <c r="C25" s="2" t="s">
        <v>4</v>
      </c>
    </row>
    <row r="26" spans="1:8" ht="15.75" thickBot="1" x14ac:dyDescent="0.3">
      <c r="A26" s="6"/>
      <c r="B26" s="7"/>
      <c r="C26" s="2"/>
    </row>
    <row r="27" spans="1:8" ht="15.75" thickBot="1" x14ac:dyDescent="0.3">
      <c r="A27" s="14" t="s">
        <v>34</v>
      </c>
      <c r="B27" s="25">
        <f>((((B17/2)/1000)*(((B17/2)/1000)*PI())*B13*B21))</f>
        <v>11.200230199389729</v>
      </c>
      <c r="C27" s="2" t="s">
        <v>35</v>
      </c>
      <c r="D27" s="22" t="s">
        <v>28</v>
      </c>
      <c r="E27" s="23">
        <f>B9/B11</f>
        <v>3.7637810945273631</v>
      </c>
      <c r="F27" s="2"/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30</v>
      </c>
      <c r="C29" s="2" t="s">
        <v>39</v>
      </c>
      <c r="D29" s="24" t="s">
        <v>31</v>
      </c>
      <c r="E29" s="20">
        <v>14.43</v>
      </c>
      <c r="F29" s="2"/>
    </row>
    <row r="30" spans="1:8" ht="15.75" thickBot="1" x14ac:dyDescent="0.3">
      <c r="A30" s="6"/>
      <c r="B30" s="7"/>
      <c r="C30" s="2"/>
      <c r="F30" s="2"/>
    </row>
    <row r="31" spans="1:8" ht="15.75" thickBot="1" x14ac:dyDescent="0.3">
      <c r="A31" s="9" t="s">
        <v>41</v>
      </c>
      <c r="B31" s="28">
        <v>60</v>
      </c>
      <c r="C31" s="2" t="s">
        <v>42</v>
      </c>
      <c r="D31" s="24" t="s">
        <v>33</v>
      </c>
      <c r="E31" s="20">
        <v>5.64</v>
      </c>
      <c r="F31" s="2"/>
    </row>
    <row r="32" spans="1:8" ht="15.75" thickBot="1" x14ac:dyDescent="0.3">
      <c r="A32" s="6"/>
      <c r="B32" s="7"/>
      <c r="C32" s="2"/>
      <c r="D32" s="2"/>
      <c r="E32" s="2"/>
      <c r="F32" s="2"/>
    </row>
    <row r="33" spans="1:6" ht="15.75" thickBot="1" x14ac:dyDescent="0.3">
      <c r="A33" s="14" t="s">
        <v>45</v>
      </c>
      <c r="B33" s="25">
        <f>B27/(B31/60)</f>
        <v>11.200230199389729</v>
      </c>
      <c r="C33" s="2" t="s">
        <v>46</v>
      </c>
      <c r="D33" s="26" t="s">
        <v>36</v>
      </c>
      <c r="E33" s="27" t="e">
        <f>(B23/2)/(SIN(H19))</f>
        <v>#DIV/0!</v>
      </c>
      <c r="F33" s="2" t="s">
        <v>37</v>
      </c>
    </row>
    <row r="34" spans="1:6" ht="15.75" thickBot="1" x14ac:dyDescent="0.3">
      <c r="A34" s="6"/>
      <c r="B34" s="7"/>
      <c r="C34" s="2"/>
      <c r="D34" s="2"/>
      <c r="E34" s="2"/>
      <c r="F34" s="2"/>
    </row>
    <row r="35" spans="1:6" ht="15.75" thickBot="1" x14ac:dyDescent="0.3">
      <c r="A35" s="14" t="s">
        <v>48</v>
      </c>
      <c r="B35" s="25">
        <f>((F16/B33)*60)/1000</f>
        <v>3.4820712883316456</v>
      </c>
      <c r="C35" s="2" t="s">
        <v>49</v>
      </c>
      <c r="D35" s="26" t="s">
        <v>40</v>
      </c>
      <c r="E35" s="27" t="e">
        <f>(B23/4)/(SIN(H19))</f>
        <v>#DIV/0!</v>
      </c>
      <c r="F35" s="2" t="s">
        <v>37</v>
      </c>
    </row>
    <row r="36" spans="1:6" ht="15.75" thickBot="1" x14ac:dyDescent="0.3">
      <c r="A36" s="12"/>
      <c r="B36" s="39"/>
      <c r="D36" s="2"/>
      <c r="E36" s="2"/>
      <c r="F36" s="2"/>
    </row>
    <row r="37" spans="1:6" x14ac:dyDescent="0.25">
      <c r="B37" s="38"/>
      <c r="D37" s="29" t="s">
        <v>43</v>
      </c>
      <c r="E37" s="30"/>
      <c r="F37" s="31"/>
    </row>
    <row r="38" spans="1:6" x14ac:dyDescent="0.25">
      <c r="D38" s="32" t="s">
        <v>44</v>
      </c>
      <c r="E38" s="33"/>
      <c r="F38" s="34"/>
    </row>
    <row r="39" spans="1:6" ht="15.75" thickBot="1" x14ac:dyDescent="0.3">
      <c r="B39" s="43"/>
      <c r="D39" s="35" t="s">
        <v>47</v>
      </c>
      <c r="E39" s="36"/>
      <c r="F39" s="37"/>
    </row>
    <row r="41" spans="1:6" ht="15.75" thickBot="1" x14ac:dyDescent="0.3">
      <c r="D41" s="38" t="s">
        <v>50</v>
      </c>
      <c r="E41" s="38" t="s">
        <v>51</v>
      </c>
    </row>
    <row r="42" spans="1:6" ht="15.75" thickBot="1" x14ac:dyDescent="0.3">
      <c r="D42" s="40">
        <v>3.5</v>
      </c>
      <c r="E42" s="41">
        <f>D42*1.75</f>
        <v>6.125</v>
      </c>
    </row>
    <row r="43" spans="1:6" x14ac:dyDescent="0.25">
      <c r="D43" s="3" t="s">
        <v>52</v>
      </c>
      <c r="E43" s="42" t="s">
        <v>53</v>
      </c>
      <c r="F43" s="2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72" fitToWidth="0" orientation="landscape" horizontalDpi="300" verticalDpi="3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0BEB7-3088-4F06-B6E9-23DB578B7DA2}">
  <sheetPr>
    <pageSetUpPr fitToPage="1"/>
  </sheetPr>
  <dimension ref="A1:M39"/>
  <sheetViews>
    <sheetView view="pageBreakPreview" zoomScale="85" zoomScaleNormal="85" zoomScaleSheetLayoutView="85" workbookViewId="0">
      <selection activeCell="F18" sqref="F18"/>
    </sheetView>
  </sheetViews>
  <sheetFormatPr defaultRowHeight="15" x14ac:dyDescent="0.25"/>
  <cols>
    <col min="1" max="1" width="41" customWidth="1"/>
    <col min="2" max="2" width="12.140625" customWidth="1"/>
    <col min="3" max="3" width="28.14062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123</v>
      </c>
      <c r="E1" s="56">
        <v>46129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543.66999999999996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687.81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642.5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73.87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144.13999999999999</v>
      </c>
      <c r="C13" s="2" t="s">
        <v>4</v>
      </c>
      <c r="D13" s="50" t="s">
        <v>122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1</v>
      </c>
      <c r="G14" t="s">
        <v>17</v>
      </c>
    </row>
    <row r="15" spans="1:13" ht="15.75" thickBot="1" x14ac:dyDescent="0.3">
      <c r="A15" s="14" t="s">
        <v>18</v>
      </c>
      <c r="B15" s="54">
        <f>B13+E11</f>
        <v>449.14</v>
      </c>
      <c r="C15" s="2" t="s">
        <v>4</v>
      </c>
      <c r="D15" s="17" t="s">
        <v>19</v>
      </c>
      <c r="E15" s="18"/>
      <c r="F15" s="13">
        <v>250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750</v>
      </c>
      <c r="G16" t="s">
        <v>4</v>
      </c>
    </row>
    <row r="17" spans="1:8" ht="15.75" thickBot="1" x14ac:dyDescent="0.3">
      <c r="A17" s="9" t="s">
        <v>21</v>
      </c>
      <c r="B17" s="11">
        <v>60</v>
      </c>
      <c r="D17" s="21" t="s">
        <v>22</v>
      </c>
      <c r="E17" s="5"/>
      <c r="F17" s="13">
        <v>1000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61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 t="s">
        <v>26</v>
      </c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8.6977121971030176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1170.2801802319018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94.529999999999973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0.81509249715917886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3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6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8.1509249715917882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5.5208458128172397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0C7B-55DC-4001-AD44-5133604B845B}">
  <sheetPr>
    <pageSetUpPr fitToPage="1"/>
  </sheetPr>
  <dimension ref="A1:M39"/>
  <sheetViews>
    <sheetView view="pageBreakPreview" zoomScale="85" zoomScaleNormal="85" zoomScaleSheetLayoutView="85" workbookViewId="0">
      <selection activeCell="B11" sqref="B11"/>
    </sheetView>
  </sheetViews>
  <sheetFormatPr defaultRowHeight="15" x14ac:dyDescent="0.25"/>
  <cols>
    <col min="1" max="1" width="41" customWidth="1"/>
    <col min="2" max="2" width="12.140625" customWidth="1"/>
    <col min="3" max="3" width="28.14062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121</v>
      </c>
      <c r="E1" s="56">
        <v>46118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543.66999999999996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734.46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542.5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73.87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190.79000000000008</v>
      </c>
      <c r="C13" s="2" t="s">
        <v>4</v>
      </c>
      <c r="D13" s="50" t="s">
        <v>122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2</v>
      </c>
      <c r="G14" t="s">
        <v>17</v>
      </c>
    </row>
    <row r="15" spans="1:13" ht="15.75" thickBot="1" x14ac:dyDescent="0.3">
      <c r="A15" s="14" t="s">
        <v>18</v>
      </c>
      <c r="B15" s="54">
        <f>B13+E11</f>
        <v>495.79000000000008</v>
      </c>
      <c r="C15" s="2" t="s">
        <v>4</v>
      </c>
      <c r="D15" s="17" t="s">
        <v>19</v>
      </c>
      <c r="E15" s="18"/>
      <c r="F15" s="13">
        <v>250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950</v>
      </c>
      <c r="G16" t="s">
        <v>4</v>
      </c>
    </row>
    <row r="17" spans="1:8" ht="15.75" thickBot="1" x14ac:dyDescent="0.3">
      <c r="A17" s="9" t="s">
        <v>21</v>
      </c>
      <c r="B17" s="11">
        <v>80</v>
      </c>
      <c r="D17" s="21" t="s">
        <v>22</v>
      </c>
      <c r="E17" s="5"/>
      <c r="F17" s="13">
        <v>1200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61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 t="s">
        <v>26</v>
      </c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7.343982672262082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2464.0000517734666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47.879999999999882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1.9180302796108704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3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6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19.180302796108702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2.9717987565641644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CA3E4-75BF-4A15-9664-4D74B998EF8C}">
  <sheetPr>
    <pageSetUpPr fitToPage="1"/>
  </sheetPr>
  <dimension ref="A1:M39"/>
  <sheetViews>
    <sheetView view="pageBreakPreview" zoomScale="85" zoomScaleNormal="85" zoomScaleSheetLayoutView="85" workbookViewId="0">
      <selection activeCell="C18" sqref="C18"/>
    </sheetView>
  </sheetViews>
  <sheetFormatPr defaultRowHeight="15" x14ac:dyDescent="0.25"/>
  <cols>
    <col min="1" max="1" width="41" customWidth="1"/>
    <col min="2" max="2" width="12.140625" customWidth="1"/>
    <col min="3" max="3" width="28.14062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116</v>
      </c>
      <c r="E1" s="56">
        <v>46111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558.85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770.21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1000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648.44000000000005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211.36</v>
      </c>
      <c r="C13" s="2" t="s">
        <v>4</v>
      </c>
      <c r="D13" s="50" t="s">
        <v>118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3</v>
      </c>
      <c r="G14" t="s">
        <v>17</v>
      </c>
    </row>
    <row r="15" spans="1:13" ht="15.75" thickBot="1" x14ac:dyDescent="0.3">
      <c r="A15" s="14" t="s">
        <v>18</v>
      </c>
      <c r="B15" s="54">
        <f>B13+E11</f>
        <v>516.36</v>
      </c>
      <c r="C15" s="2" t="s">
        <v>4</v>
      </c>
      <c r="D15" s="17" t="s">
        <v>19</v>
      </c>
      <c r="E15" s="18"/>
      <c r="F15" s="13">
        <v>530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300</v>
      </c>
      <c r="G16" t="s">
        <v>4</v>
      </c>
    </row>
    <row r="17" spans="1:8" ht="15.75" thickBot="1" x14ac:dyDescent="0.3">
      <c r="A17" s="9" t="s">
        <v>21</v>
      </c>
      <c r="B17" s="11">
        <v>50</v>
      </c>
      <c r="D17" s="21" t="s">
        <v>22</v>
      </c>
      <c r="E17" s="5"/>
      <c r="F17" s="13">
        <v>830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117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 t="s">
        <v>26</v>
      </c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1.542162729011165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4583.5522656609728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42.490000000000009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0.83000877907842352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3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6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8.3000877907842341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2.1686517605254472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AB869-5622-4900-BDFE-AE8F1722C015}">
  <sheetPr>
    <pageSetUpPr fitToPage="1"/>
  </sheetPr>
  <dimension ref="A1:M39"/>
  <sheetViews>
    <sheetView view="pageBreakPreview" zoomScale="85" zoomScaleNormal="85" zoomScaleSheetLayoutView="85" workbookViewId="0">
      <selection activeCell="C13" sqref="C13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113</v>
      </c>
      <c r="E1" s="56">
        <v>46108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1223.24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2105.25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1700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344.51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882.01</v>
      </c>
      <c r="C13" s="2" t="s">
        <v>4</v>
      </c>
      <c r="D13" s="50" t="s">
        <v>115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4</v>
      </c>
      <c r="G14" t="s">
        <v>17</v>
      </c>
    </row>
    <row r="15" spans="1:13" ht="15.75" thickBot="1" x14ac:dyDescent="0.3">
      <c r="A15" s="14" t="s">
        <v>18</v>
      </c>
      <c r="B15" s="54">
        <f>B13+E11</f>
        <v>1187.01</v>
      </c>
      <c r="C15" s="2" t="s">
        <v>4</v>
      </c>
      <c r="D15" s="17" t="s">
        <v>19</v>
      </c>
      <c r="E15" s="18"/>
      <c r="F15" s="13">
        <v>500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2500</v>
      </c>
      <c r="G16" t="s">
        <v>4</v>
      </c>
    </row>
    <row r="17" spans="1:8" ht="15.75" thickBot="1" x14ac:dyDescent="0.3">
      <c r="A17" s="9" t="s">
        <v>21</v>
      </c>
      <c r="B17" s="11">
        <v>90</v>
      </c>
      <c r="D17" s="21" t="s">
        <v>22</v>
      </c>
      <c r="E17" s="5"/>
      <c r="F17" s="13">
        <v>3000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114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 t="s">
        <v>26</v>
      </c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4.9345447156831446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4641.2003060547759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36.230000000000018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11.222210352390571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8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16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42.083288821464642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3.5643602056950523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5A1BE-7549-46C7-84D7-6359DDD493A6}">
  <sheetPr>
    <pageSetUpPr fitToPage="1"/>
  </sheetPr>
  <dimension ref="A1:M39"/>
  <sheetViews>
    <sheetView view="pageBreakPreview" topLeftCell="A13" zoomScale="85" zoomScaleNormal="85" zoomScaleSheetLayoutView="85" workbookViewId="0">
      <selection activeCell="D32" sqref="D32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108</v>
      </c>
      <c r="E1" s="56">
        <v>46104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565.30999999999995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773.43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600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239.52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208.12</v>
      </c>
      <c r="C13" s="2" t="s">
        <v>4</v>
      </c>
      <c r="D13" s="50" t="s">
        <v>109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8</v>
      </c>
      <c r="G14" t="s">
        <v>17</v>
      </c>
    </row>
    <row r="15" spans="1:13" ht="15.75" thickBot="1" x14ac:dyDescent="0.3">
      <c r="A15" s="14" t="s">
        <v>18</v>
      </c>
      <c r="B15" s="54">
        <f>B13+E11</f>
        <v>513.12</v>
      </c>
      <c r="C15" s="2" t="s">
        <v>4</v>
      </c>
      <c r="D15" s="17" t="s">
        <v>19</v>
      </c>
      <c r="E15" s="18"/>
      <c r="F15" s="13">
        <v>500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600</v>
      </c>
      <c r="G16" t="s">
        <v>4</v>
      </c>
    </row>
    <row r="17" spans="1:8" ht="15.75" thickBot="1" x14ac:dyDescent="0.3">
      <c r="A17" s="9" t="s">
        <v>21</v>
      </c>
      <c r="B17" s="11">
        <v>90</v>
      </c>
      <c r="D17" s="21" t="s">
        <v>22</v>
      </c>
      <c r="E17" s="5"/>
      <c r="F17" s="13">
        <v>1100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110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 t="s">
        <v>26</v>
      </c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2.5050100200400802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9142.5624095120984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52.189999999999941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2.6480044654136865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6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12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13.240022327068433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2.7190286474366556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6FCFD-E4CC-49FF-BF6B-25A1E4FEDF0B}">
  <sheetPr>
    <pageSetUpPr fitToPage="1"/>
  </sheetPr>
  <dimension ref="A1:M39"/>
  <sheetViews>
    <sheetView view="pageBreakPreview" topLeftCell="A10" zoomScale="85" zoomScaleNormal="85" zoomScaleSheetLayoutView="85" workbookViewId="0">
      <selection activeCell="B12" sqref="B12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103</v>
      </c>
      <c r="E1" s="56">
        <v>46098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809.85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1245.3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1025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200.62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435.44999999999993</v>
      </c>
      <c r="C13" s="2" t="s">
        <v>4</v>
      </c>
      <c r="D13" s="50" t="s">
        <v>105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3</v>
      </c>
      <c r="G14" t="s">
        <v>17</v>
      </c>
    </row>
    <row r="15" spans="1:13" ht="15.75" thickBot="1" x14ac:dyDescent="0.3">
      <c r="A15" s="14" t="s">
        <v>18</v>
      </c>
      <c r="B15" s="54">
        <f>B13+E11</f>
        <v>740.44999999999993</v>
      </c>
      <c r="C15" s="2" t="s">
        <v>4</v>
      </c>
      <c r="D15" s="17" t="s">
        <v>19</v>
      </c>
      <c r="E15" s="18"/>
      <c r="F15" s="13">
        <v>380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1500</v>
      </c>
      <c r="G16" t="s">
        <v>4</v>
      </c>
    </row>
    <row r="17" spans="1:8" ht="15.75" thickBot="1" x14ac:dyDescent="0.3">
      <c r="A17" s="9" t="s">
        <v>21</v>
      </c>
      <c r="B17" s="11">
        <v>80</v>
      </c>
      <c r="D17" s="21" t="s">
        <v>22</v>
      </c>
      <c r="E17" s="5"/>
      <c r="F17" s="13">
        <v>1880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104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 t="s">
        <v>26</v>
      </c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5.1091615990429666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3541.7892610926265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69.400000000000091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4.3776208672181616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12.5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25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10.506290081323588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8.5662968853285033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F5F2-A6B8-4430-9D0E-0EF9FF2F2246}">
  <sheetPr>
    <pageSetUpPr fitToPage="1"/>
  </sheetPr>
  <dimension ref="A1:M39"/>
  <sheetViews>
    <sheetView view="pageBreakPreview" topLeftCell="A10" zoomScale="85" zoomScaleNormal="85" zoomScaleSheetLayoutView="85" workbookViewId="0">
      <selection activeCell="H11" sqref="H11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100</v>
      </c>
      <c r="E1" s="56">
        <v>46094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449.2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586.48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540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85.74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137.28000000000003</v>
      </c>
      <c r="C13" s="2" t="s">
        <v>4</v>
      </c>
      <c r="D13" s="50" t="s">
        <v>101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0.3</v>
      </c>
      <c r="G14" t="s">
        <v>17</v>
      </c>
    </row>
    <row r="15" spans="1:13" ht="15.75" thickBot="1" x14ac:dyDescent="0.3">
      <c r="A15" s="14" t="s">
        <v>18</v>
      </c>
      <c r="B15" s="54">
        <f>B13+E11</f>
        <v>442.28000000000003</v>
      </c>
      <c r="C15" s="2" t="s">
        <v>4</v>
      </c>
      <c r="D15" s="17" t="s">
        <v>19</v>
      </c>
      <c r="E15" s="18"/>
      <c r="F15" s="13">
        <v>250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550</v>
      </c>
      <c r="G16" t="s">
        <v>4</v>
      </c>
    </row>
    <row r="17" spans="1:8" ht="15.75" thickBot="1" x14ac:dyDescent="0.3">
      <c r="A17" s="9" t="s">
        <v>21</v>
      </c>
      <c r="B17" s="11">
        <v>70</v>
      </c>
      <c r="D17" s="21" t="s">
        <v>22</v>
      </c>
      <c r="E17" s="5"/>
      <c r="F17" s="13">
        <v>800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102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 t="s">
        <v>26</v>
      </c>
      <c r="C20" s="2"/>
      <c r="F20" s="2"/>
    </row>
    <row r="21" spans="1:8" ht="15.75" thickBot="1" x14ac:dyDescent="0.3">
      <c r="A21" s="9" t="s">
        <v>27</v>
      </c>
      <c r="B21" s="11">
        <v>1</v>
      </c>
      <c r="C21" s="57"/>
      <c r="D21" s="22" t="s">
        <v>28</v>
      </c>
      <c r="E21" s="23">
        <f>B9/B11</f>
        <v>6.2981105668299513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1099.8872959850546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6.9199999999999591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0.52831535336888857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2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4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7.9247303005333283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4.1641795680767988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D0D11-710C-42C5-834B-F1A02B0CA7DE}">
  <sheetPr>
    <pageSetUpPr fitToPage="1"/>
  </sheetPr>
  <dimension ref="A1:M39"/>
  <sheetViews>
    <sheetView view="pageBreakPreview" zoomScale="85" zoomScaleNormal="85" zoomScaleSheetLayoutView="85" workbookViewId="0">
      <selection activeCell="D14" sqref="D14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98</v>
      </c>
      <c r="E1" s="56">
        <v>46093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593.98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848.6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750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298.64999999999998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254.62</v>
      </c>
      <c r="C13" s="2" t="s">
        <v>4</v>
      </c>
      <c r="D13" s="50" t="s">
        <v>106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5</v>
      </c>
      <c r="G14" t="s">
        <v>17</v>
      </c>
    </row>
    <row r="15" spans="1:13" ht="15.75" thickBot="1" x14ac:dyDescent="0.3">
      <c r="A15" s="14" t="s">
        <v>18</v>
      </c>
      <c r="B15" s="54">
        <f>B13+E11</f>
        <v>559.62</v>
      </c>
      <c r="C15" s="2" t="s">
        <v>4</v>
      </c>
      <c r="D15" s="17" t="s">
        <v>19</v>
      </c>
      <c r="E15" s="18"/>
      <c r="F15" s="13">
        <v>300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900</v>
      </c>
      <c r="G16" t="s">
        <v>4</v>
      </c>
    </row>
    <row r="17" spans="1:8" ht="15.75" thickBot="1" x14ac:dyDescent="0.3">
      <c r="A17" s="9" t="s">
        <v>21</v>
      </c>
      <c r="B17" s="11">
        <v>70</v>
      </c>
      <c r="D17" s="21" t="s">
        <v>22</v>
      </c>
      <c r="E17" s="5"/>
      <c r="F17" s="13">
        <v>1200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97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 t="s">
        <v>26</v>
      </c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2.5113008538422905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5516.8314784481981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34.360000000000014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1.9597851875697316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3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6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19.597851875697316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2.7554040280794099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BEB3E-98CD-4414-B6BC-9D3A8A492CCE}">
  <sheetPr>
    <pageSetUpPr fitToPage="1"/>
  </sheetPr>
  <dimension ref="A1:M39"/>
  <sheetViews>
    <sheetView view="pageBreakPreview" zoomScale="85" zoomScaleNormal="85" zoomScaleSheetLayoutView="85" workbookViewId="0">
      <selection activeCell="C14" sqref="C14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99</v>
      </c>
      <c r="E1" s="56">
        <v>46093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584.98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848.6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750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298.64999999999998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263.62</v>
      </c>
      <c r="C13" s="2" t="s">
        <v>4</v>
      </c>
      <c r="D13" s="50" t="s">
        <v>107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3</v>
      </c>
      <c r="G14" t="s">
        <v>17</v>
      </c>
    </row>
    <row r="15" spans="1:13" ht="15.75" thickBot="1" x14ac:dyDescent="0.3">
      <c r="A15" s="14" t="s">
        <v>18</v>
      </c>
      <c r="B15" s="54">
        <f>B13+E11</f>
        <v>568.62</v>
      </c>
      <c r="C15" s="2" t="s">
        <v>4</v>
      </c>
      <c r="D15" s="17" t="s">
        <v>19</v>
      </c>
      <c r="E15" s="18"/>
      <c r="F15" s="13">
        <v>300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900</v>
      </c>
      <c r="G16" t="s">
        <v>4</v>
      </c>
    </row>
    <row r="17" spans="1:8" ht="15.75" thickBot="1" x14ac:dyDescent="0.3">
      <c r="A17" s="9" t="s">
        <v>21</v>
      </c>
      <c r="B17" s="11">
        <v>60</v>
      </c>
      <c r="D17" s="21" t="s">
        <v>22</v>
      </c>
      <c r="E17" s="5"/>
      <c r="F17" s="13">
        <v>1200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97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 t="s">
        <v>26</v>
      </c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2.5113008538422905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4053.1823106966358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16.360000000000014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1.4907359796108142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3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6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14.907359796108141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3.622371817583538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14C9-9A93-41D9-9AB0-0BE94ED36C14}">
  <sheetPr>
    <pageSetUpPr fitToPage="1"/>
  </sheetPr>
  <dimension ref="A1:M39"/>
  <sheetViews>
    <sheetView view="pageBreakPreview" topLeftCell="A4" zoomScale="85" zoomScaleNormal="85" zoomScaleSheetLayoutView="85" workbookViewId="0">
      <selection activeCell="B18" sqref="B18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96</v>
      </c>
      <c r="E1" s="56">
        <v>46090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627.59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930.78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750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210.71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303.18999999999994</v>
      </c>
      <c r="C13" s="2" t="s">
        <v>4</v>
      </c>
      <c r="D13" s="50" t="s">
        <v>94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1.2</v>
      </c>
      <c r="G14" t="s">
        <v>17</v>
      </c>
    </row>
    <row r="15" spans="1:13" ht="15.75" thickBot="1" x14ac:dyDescent="0.3">
      <c r="A15" s="14" t="s">
        <v>18</v>
      </c>
      <c r="B15" s="54">
        <f>B13+E11</f>
        <v>608.18999999999994</v>
      </c>
      <c r="C15" s="2" t="s">
        <v>4</v>
      </c>
      <c r="D15" s="17" t="s">
        <v>19</v>
      </c>
      <c r="E15" s="18"/>
      <c r="F15" s="13">
        <v>404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920</v>
      </c>
      <c r="G16" t="s">
        <v>4</v>
      </c>
    </row>
    <row r="17" spans="1:9" ht="15.75" thickBot="1" x14ac:dyDescent="0.3">
      <c r="A17" s="9" t="s">
        <v>21</v>
      </c>
      <c r="B17" s="11">
        <v>70</v>
      </c>
      <c r="D17" s="21" t="s">
        <v>22</v>
      </c>
      <c r="E17" s="5"/>
      <c r="F17" s="13">
        <f>920+404</f>
        <v>1324</v>
      </c>
      <c r="G17" t="s">
        <v>4</v>
      </c>
      <c r="H17" s="47"/>
    </row>
    <row r="18" spans="1:9" ht="15.75" thickBot="1" x14ac:dyDescent="0.3">
      <c r="A18" s="6"/>
      <c r="B18" s="7"/>
      <c r="C18" s="2"/>
      <c r="D18" s="17" t="s">
        <v>23</v>
      </c>
      <c r="E18" s="18"/>
      <c r="F18" s="51" t="s">
        <v>95</v>
      </c>
      <c r="G18" t="s">
        <v>4</v>
      </c>
    </row>
    <row r="19" spans="1:9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9" ht="15.75" thickBot="1" x14ac:dyDescent="0.3">
      <c r="A20" s="6"/>
      <c r="B20" s="7" t="s">
        <v>26</v>
      </c>
      <c r="C20" s="2"/>
      <c r="F20" s="2"/>
    </row>
    <row r="21" spans="1:9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3.5593944283612546</v>
      </c>
      <c r="F21" s="2"/>
    </row>
    <row r="22" spans="1:9" ht="15.75" thickBot="1" x14ac:dyDescent="0.3">
      <c r="A22" s="6"/>
      <c r="B22" s="7"/>
      <c r="D22" s="2"/>
      <c r="E22" s="2"/>
      <c r="F22" s="2"/>
    </row>
    <row r="23" spans="1:9" ht="15.75" thickBot="1" x14ac:dyDescent="0.3">
      <c r="A23" s="14" t="s">
        <v>29</v>
      </c>
      <c r="B23" s="48">
        <f>((((B17/2)*(B17/2)*PI())*B19)*B21/(B9/B11)/100)</f>
        <v>3892.3541296628832</v>
      </c>
      <c r="C23" s="2" t="s">
        <v>30</v>
      </c>
      <c r="D23" s="24" t="s">
        <v>31</v>
      </c>
      <c r="E23" s="20">
        <v>14.43</v>
      </c>
      <c r="F23" s="2"/>
    </row>
    <row r="24" spans="1:9" ht="15.75" thickBot="1" x14ac:dyDescent="0.3">
      <c r="A24" s="6"/>
      <c r="B24" s="46"/>
      <c r="C24" s="2"/>
      <c r="F24" s="2"/>
    </row>
    <row r="25" spans="1:9" ht="15.75" thickBot="1" x14ac:dyDescent="0.3">
      <c r="A25" s="14" t="s">
        <v>32</v>
      </c>
      <c r="B25" s="25">
        <f>B5-B15</f>
        <v>19.400000000000091</v>
      </c>
      <c r="C25" s="2" t="s">
        <v>4</v>
      </c>
      <c r="D25" s="24" t="s">
        <v>33</v>
      </c>
      <c r="E25" s="20">
        <v>5.64</v>
      </c>
      <c r="F25" s="2"/>
    </row>
    <row r="26" spans="1:9" ht="15.75" thickBot="1" x14ac:dyDescent="0.3">
      <c r="A26" s="6"/>
      <c r="B26" s="7"/>
      <c r="C26" s="2"/>
      <c r="D26" s="2"/>
      <c r="E26" s="2"/>
      <c r="F26" s="2"/>
    </row>
    <row r="27" spans="1:9" ht="15.75" thickBot="1" x14ac:dyDescent="0.3">
      <c r="A27" s="14" t="s">
        <v>34</v>
      </c>
      <c r="B27" s="25">
        <f>((((B17/2)/1000)*(((B17/2)/1000)*PI())*B13*B21))</f>
        <v>2.3336237177726291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9" ht="15.75" thickBot="1" x14ac:dyDescent="0.3">
      <c r="A28" s="6"/>
      <c r="B28" s="7"/>
      <c r="C28" s="2"/>
      <c r="D28" s="2"/>
      <c r="E28" s="2"/>
      <c r="F28" s="2"/>
    </row>
    <row r="29" spans="1:9" ht="15.75" thickBot="1" x14ac:dyDescent="0.3">
      <c r="A29" s="14" t="s">
        <v>38</v>
      </c>
      <c r="B29" s="25">
        <f>(B19*B31)/360</f>
        <v>2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  <c r="H29" s="58" t="s">
        <v>119</v>
      </c>
      <c r="I29" s="58" t="s">
        <v>120</v>
      </c>
    </row>
    <row r="30" spans="1:9" ht="15.75" thickBot="1" x14ac:dyDescent="0.3">
      <c r="A30" s="6"/>
      <c r="B30" s="7"/>
      <c r="C30" s="2"/>
      <c r="D30" s="2"/>
      <c r="E30" s="2"/>
      <c r="F30" s="2"/>
      <c r="H30" s="58">
        <v>25</v>
      </c>
      <c r="I30" s="58">
        <v>25</v>
      </c>
    </row>
    <row r="31" spans="1:9" x14ac:dyDescent="0.25">
      <c r="A31" s="9" t="s">
        <v>41</v>
      </c>
      <c r="B31" s="28">
        <v>4</v>
      </c>
      <c r="C31" s="2" t="s">
        <v>42</v>
      </c>
      <c r="D31" s="29" t="s">
        <v>43</v>
      </c>
      <c r="E31" s="30"/>
      <c r="F31" s="31"/>
    </row>
    <row r="32" spans="1:9" ht="15.75" thickBot="1" x14ac:dyDescent="0.3">
      <c r="A32" s="6"/>
      <c r="B32" s="7"/>
      <c r="C32" s="2"/>
      <c r="D32" s="32" t="s">
        <v>44</v>
      </c>
      <c r="E32" s="33"/>
      <c r="F32" s="34"/>
    </row>
    <row r="33" spans="1:8" ht="15.75" thickBot="1" x14ac:dyDescent="0.3">
      <c r="A33" s="14" t="s">
        <v>45</v>
      </c>
      <c r="B33" s="25">
        <f>B27/(B31/60)</f>
        <v>35.004355766589434</v>
      </c>
      <c r="C33" s="2" t="s">
        <v>46</v>
      </c>
      <c r="D33" s="35" t="s">
        <v>47</v>
      </c>
      <c r="E33" s="36"/>
      <c r="F33" s="37"/>
      <c r="H33" s="58">
        <f>H30+I30</f>
        <v>50</v>
      </c>
    </row>
    <row r="34" spans="1:8" ht="15.75" thickBot="1" x14ac:dyDescent="0.3">
      <c r="A34" s="6"/>
      <c r="B34" s="7"/>
      <c r="C34" s="2"/>
    </row>
    <row r="35" spans="1:8" ht="15.75" thickBot="1" x14ac:dyDescent="0.3">
      <c r="A35" s="14" t="s">
        <v>48</v>
      </c>
      <c r="B35" s="25">
        <f>((F16/B33)*60)/1000</f>
        <v>1.5769466053903691</v>
      </c>
      <c r="C35" s="2" t="s">
        <v>49</v>
      </c>
      <c r="D35" s="38" t="s">
        <v>50</v>
      </c>
      <c r="E35" s="38" t="s">
        <v>51</v>
      </c>
    </row>
    <row r="36" spans="1:8" ht="15.75" thickBot="1" x14ac:dyDescent="0.3">
      <c r="A36" s="12"/>
      <c r="B36" s="39"/>
      <c r="D36" s="40">
        <v>3.5</v>
      </c>
      <c r="E36" s="41">
        <f>D36*1.75</f>
        <v>6.125</v>
      </c>
    </row>
    <row r="37" spans="1:8" x14ac:dyDescent="0.25">
      <c r="B37" s="38"/>
      <c r="D37" s="3" t="s">
        <v>52</v>
      </c>
      <c r="E37" s="42" t="s">
        <v>53</v>
      </c>
      <c r="F37" s="2"/>
    </row>
    <row r="39" spans="1:8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F6C49-D30F-4763-99D3-FC7C82C99A89}">
  <sheetPr>
    <pageSetUpPr fitToPage="1"/>
  </sheetPr>
  <dimension ref="A1:M39"/>
  <sheetViews>
    <sheetView view="pageBreakPreview" zoomScale="85" zoomScaleNormal="85" zoomScaleSheetLayoutView="85" workbookViewId="0">
      <selection activeCell="C8" sqref="C8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91</v>
      </c>
      <c r="E1" s="56">
        <v>46086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501.25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658.85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625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94.38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157.60000000000002</v>
      </c>
      <c r="C13" s="2" t="s">
        <v>4</v>
      </c>
      <c r="D13" s="50" t="s">
        <v>92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2.5</v>
      </c>
      <c r="G14" t="s">
        <v>17</v>
      </c>
    </row>
    <row r="15" spans="1:13" ht="15.75" thickBot="1" x14ac:dyDescent="0.3">
      <c r="A15" s="14" t="s">
        <v>18</v>
      </c>
      <c r="B15" s="54">
        <f>B13+E11</f>
        <v>462.6</v>
      </c>
      <c r="C15" s="2" t="s">
        <v>4</v>
      </c>
      <c r="D15" s="17" t="s">
        <v>19</v>
      </c>
      <c r="E15" s="18"/>
      <c r="F15" s="13">
        <v>250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650</v>
      </c>
      <c r="G16" t="s">
        <v>4</v>
      </c>
    </row>
    <row r="17" spans="1:8" ht="15.75" thickBot="1" x14ac:dyDescent="0.3">
      <c r="A17" s="9" t="s">
        <v>21</v>
      </c>
      <c r="B17" s="11">
        <v>80</v>
      </c>
      <c r="D17" s="21" t="s">
        <v>22</v>
      </c>
      <c r="E17" s="5"/>
      <c r="F17" s="13">
        <v>900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93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 t="s">
        <v>26</v>
      </c>
      <c r="C20" s="2"/>
      <c r="F20" s="2"/>
    </row>
    <row r="21" spans="1:8" ht="15.75" thickBot="1" x14ac:dyDescent="0.3">
      <c r="A21" s="9" t="s">
        <v>27</v>
      </c>
      <c r="B21" s="11">
        <v>2</v>
      </c>
      <c r="C21" s="57"/>
      <c r="D21" s="22" t="s">
        <v>28</v>
      </c>
      <c r="E21" s="23">
        <f>B9/B11</f>
        <v>6.6221657130748044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2732.5763909757356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38.649999999999977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1.584368007058405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3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6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15.84368007058405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2.4615493260564389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18A9B-BA49-4991-AF28-7FBD4C95F2F2}">
  <sheetPr>
    <pageSetUpPr fitToPage="1"/>
  </sheetPr>
  <dimension ref="A1:M39"/>
  <sheetViews>
    <sheetView view="pageBreakPreview" zoomScale="85" zoomScaleNormal="85" zoomScaleSheetLayoutView="85" workbookViewId="0">
      <selection activeCell="D20" sqref="D20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88</v>
      </c>
      <c r="E1" s="56">
        <v>46084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528.59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729.95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f>1150/2</f>
        <v>575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199.72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201.36</v>
      </c>
      <c r="C13" s="2" t="s">
        <v>4</v>
      </c>
      <c r="D13" s="50" t="s">
        <v>89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9</v>
      </c>
      <c r="G14" t="s">
        <v>17</v>
      </c>
    </row>
    <row r="15" spans="1:13" ht="15.75" thickBot="1" x14ac:dyDescent="0.3">
      <c r="A15" s="14" t="s">
        <v>18</v>
      </c>
      <c r="B15" s="54">
        <f>B13+E11</f>
        <v>506.36</v>
      </c>
      <c r="C15" s="2" t="s">
        <v>4</v>
      </c>
      <c r="D15" s="17" t="s">
        <v>19</v>
      </c>
      <c r="E15" s="18"/>
      <c r="F15" s="13">
        <v>450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550</v>
      </c>
      <c r="G16" t="s">
        <v>4</v>
      </c>
    </row>
    <row r="17" spans="1:8" ht="15.75" thickBot="1" x14ac:dyDescent="0.3">
      <c r="A17" s="9" t="s">
        <v>21</v>
      </c>
      <c r="B17" s="11">
        <v>90</v>
      </c>
      <c r="D17" s="21" t="s">
        <v>22</v>
      </c>
      <c r="E17" s="5"/>
      <c r="F17" s="13">
        <v>1000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90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 t="s">
        <v>26</v>
      </c>
      <c r="C20" s="2"/>
      <c r="F20" s="2"/>
    </row>
    <row r="21" spans="1:8" ht="15.75" thickBot="1" x14ac:dyDescent="0.3">
      <c r="A21" s="9" t="s">
        <v>27</v>
      </c>
      <c r="B21" s="11">
        <v>3</v>
      </c>
      <c r="C21" s="57"/>
      <c r="D21" s="22" t="s">
        <v>28</v>
      </c>
      <c r="E21" s="23">
        <f>B9/B11</f>
        <v>2.8790306429000601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11932.250791328896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22.230000000000018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3.8429909126155581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7.5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15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15.371963650462233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2.1467654198497725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A617E-2D1B-4BFF-935B-0285CD50BFC9}">
  <sheetPr>
    <pageSetUpPr fitToPage="1"/>
  </sheetPr>
  <dimension ref="A1:M39"/>
  <sheetViews>
    <sheetView view="pageBreakPreview" zoomScale="85" zoomScaleNormal="85" zoomScaleSheetLayoutView="85" workbookViewId="0">
      <selection activeCell="C8" sqref="C8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84</v>
      </c>
      <c r="E1" s="56">
        <v>46077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973.04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1597.71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1300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 t="s">
        <v>82</v>
      </c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264.94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624.67000000000007</v>
      </c>
      <c r="C13" s="2" t="s">
        <v>4</v>
      </c>
      <c r="D13" s="50" t="s">
        <v>85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7</v>
      </c>
      <c r="G14" t="s">
        <v>17</v>
      </c>
    </row>
    <row r="15" spans="1:13" ht="15.75" thickBot="1" x14ac:dyDescent="0.3">
      <c r="A15" s="14" t="s">
        <v>18</v>
      </c>
      <c r="B15" s="54">
        <f>B13+E11</f>
        <v>929.67000000000007</v>
      </c>
      <c r="C15" s="2" t="s">
        <v>4</v>
      </c>
      <c r="D15" s="17" t="s">
        <v>19</v>
      </c>
      <c r="E15" s="18"/>
      <c r="F15" s="13">
        <v>400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1900</v>
      </c>
      <c r="G16" t="s">
        <v>4</v>
      </c>
    </row>
    <row r="17" spans="1:8" ht="15.75" thickBot="1" x14ac:dyDescent="0.3">
      <c r="A17" s="9" t="s">
        <v>21</v>
      </c>
      <c r="B17" s="11">
        <v>80</v>
      </c>
      <c r="D17" s="21" t="s">
        <v>22</v>
      </c>
      <c r="E17" s="5"/>
      <c r="F17" s="13">
        <f>1900+400</f>
        <v>2300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86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 t="s">
        <v>26</v>
      </c>
      <c r="C20" s="2"/>
      <c r="F20" s="2"/>
    </row>
    <row r="21" spans="1:8" ht="15.75" thickBot="1" x14ac:dyDescent="0.3">
      <c r="A21" s="9" t="s">
        <v>27</v>
      </c>
      <c r="B21" s="11">
        <v>4</v>
      </c>
      <c r="C21" s="57"/>
      <c r="D21" s="22" t="s">
        <v>28</v>
      </c>
      <c r="E21" s="23">
        <f>B9/B11</f>
        <v>4.9067713444553487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7375.7558338744302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43.369999999999891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12.559735570674794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10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20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37.679206712024389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3.025541404607643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3EE0-8C00-4E0C-89B2-59A03D87F4C3}">
  <sheetPr>
    <pageSetUpPr fitToPage="1"/>
  </sheetPr>
  <dimension ref="A1:M39"/>
  <sheetViews>
    <sheetView view="pageBreakPreview" zoomScale="85" zoomScaleNormal="85" zoomScaleSheetLayoutView="85" workbookViewId="0">
      <selection activeCell="C11" sqref="C11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81</v>
      </c>
      <c r="E1" s="56">
        <v>46076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462.95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588.89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500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 t="s">
        <v>82</v>
      </c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149.19999999999999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125.94</v>
      </c>
      <c r="C13" s="2" t="s">
        <v>4</v>
      </c>
      <c r="D13" s="50" t="s">
        <v>83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1</v>
      </c>
      <c r="G14" t="s">
        <v>17</v>
      </c>
    </row>
    <row r="15" spans="1:13" ht="15.75" thickBot="1" x14ac:dyDescent="0.3">
      <c r="A15" s="14" t="s">
        <v>18</v>
      </c>
      <c r="B15" s="54">
        <f>B13+E11</f>
        <v>430.94</v>
      </c>
      <c r="C15" s="2" t="s">
        <v>4</v>
      </c>
      <c r="D15" s="17" t="s">
        <v>19</v>
      </c>
      <c r="E15" s="18"/>
      <c r="F15" s="13">
        <v>350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400</v>
      </c>
      <c r="G16" t="s">
        <v>4</v>
      </c>
    </row>
    <row r="17" spans="1:8" ht="15.75" thickBot="1" x14ac:dyDescent="0.3">
      <c r="A17" s="9" t="s">
        <v>21</v>
      </c>
      <c r="B17" s="11">
        <v>40</v>
      </c>
      <c r="D17" s="21" t="s">
        <v>22</v>
      </c>
      <c r="E17" s="5"/>
      <c r="F17" s="13">
        <v>750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87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 t="s">
        <v>26</v>
      </c>
      <c r="C20" s="2"/>
      <c r="F20" s="2"/>
    </row>
    <row r="21" spans="1:8" ht="15.75" thickBot="1" x14ac:dyDescent="0.3">
      <c r="A21" s="9" t="s">
        <v>27</v>
      </c>
      <c r="B21" s="11">
        <v>2</v>
      </c>
      <c r="C21" s="53"/>
      <c r="D21" s="22" t="s">
        <v>28</v>
      </c>
      <c r="E21" s="23">
        <f>B9/B11</f>
        <v>3.3512064343163543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1349.9297968769197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32.009999999999991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0.31652174303447889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2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4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4.7478261455171831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5.054944992596325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C6A95-9CA3-4025-8CFC-F184158D9B1C}">
  <sheetPr>
    <pageSetUpPr fitToPage="1"/>
  </sheetPr>
  <dimension ref="A1:M39"/>
  <sheetViews>
    <sheetView view="pageBreakPreview" zoomScale="85" zoomScaleNormal="85" zoomScaleSheetLayoutView="85" workbookViewId="0">
      <selection activeCell="C10" sqref="C9:C10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55</v>
      </c>
      <c r="E1" s="56">
        <v>46035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721.41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1092.99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910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147.38999999999999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371.58000000000004</v>
      </c>
      <c r="C13" s="2" t="s">
        <v>4</v>
      </c>
      <c r="D13" s="50" t="s">
        <v>59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2</v>
      </c>
      <c r="G14" t="s">
        <v>17</v>
      </c>
    </row>
    <row r="15" spans="1:13" ht="15.75" thickBot="1" x14ac:dyDescent="0.3">
      <c r="A15" s="14" t="s">
        <v>18</v>
      </c>
      <c r="B15" s="54">
        <f>B13+E11</f>
        <v>676.58</v>
      </c>
      <c r="C15" s="2" t="s">
        <v>4</v>
      </c>
      <c r="D15" s="17" t="s">
        <v>19</v>
      </c>
      <c r="E15" s="18"/>
      <c r="F15" s="13">
        <v>250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1400</v>
      </c>
      <c r="G16" t="s">
        <v>4</v>
      </c>
    </row>
    <row r="17" spans="1:8" ht="15.75" thickBot="1" x14ac:dyDescent="0.3">
      <c r="A17" s="9" t="s">
        <v>21</v>
      </c>
      <c r="B17" s="11">
        <v>80</v>
      </c>
      <c r="D17" s="21" t="s">
        <v>22</v>
      </c>
      <c r="E17" s="5"/>
      <c r="F17" s="13">
        <v>1650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54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 t="s">
        <v>26</v>
      </c>
      <c r="C20" s="2"/>
      <c r="F20" s="2"/>
    </row>
    <row r="21" spans="1:8" ht="15.75" thickBot="1" x14ac:dyDescent="0.3">
      <c r="A21" s="9" t="s">
        <v>27</v>
      </c>
      <c r="B21" s="11">
        <v>2</v>
      </c>
      <c r="C21" s="53"/>
      <c r="D21" s="22" t="s">
        <v>28</v>
      </c>
      <c r="E21" s="23">
        <f>B9/B11</f>
        <v>6.174095935952236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2930.8863795434877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44.829999999999927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3.735529594306866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3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6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37.355295943068661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2.2486771387923201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5FD13-4CCB-4FE4-BA64-88BC6B8018B4}">
  <sheetPr>
    <pageSetUpPr fitToPage="1"/>
  </sheetPr>
  <dimension ref="A1:M39"/>
  <sheetViews>
    <sheetView view="pageBreakPreview" zoomScale="85" zoomScaleNormal="85" zoomScaleSheetLayoutView="85" workbookViewId="0">
      <selection activeCell="C12" sqref="C12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56</v>
      </c>
      <c r="E1" s="56">
        <v>46035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606.36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852.64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750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333.66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246.27999999999997</v>
      </c>
      <c r="C13" s="2" t="s">
        <v>4</v>
      </c>
      <c r="D13" s="50" t="s">
        <v>58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2</v>
      </c>
      <c r="G14" t="s">
        <v>17</v>
      </c>
    </row>
    <row r="15" spans="1:13" ht="15.75" thickBot="1" x14ac:dyDescent="0.3">
      <c r="A15" s="14" t="s">
        <v>18</v>
      </c>
      <c r="B15" s="54">
        <f>B13+E11</f>
        <v>551.28</v>
      </c>
      <c r="C15" s="2" t="s">
        <v>4</v>
      </c>
      <c r="D15" s="17" t="s">
        <v>19</v>
      </c>
      <c r="E15" s="18"/>
      <c r="F15" s="13">
        <v>500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500</v>
      </c>
      <c r="G16" t="s">
        <v>4</v>
      </c>
    </row>
    <row r="17" spans="1:8" ht="15.75" thickBot="1" x14ac:dyDescent="0.3">
      <c r="A17" s="9" t="s">
        <v>21</v>
      </c>
      <c r="B17" s="11">
        <v>50</v>
      </c>
      <c r="D17" s="21" t="s">
        <v>22</v>
      </c>
      <c r="E17" s="5"/>
      <c r="F17" s="13">
        <v>1000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57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 t="s">
        <v>26</v>
      </c>
      <c r="C20" s="2"/>
      <c r="F20" s="2"/>
    </row>
    <row r="21" spans="1:8" ht="15.75" thickBot="1" x14ac:dyDescent="0.3">
      <c r="A21" s="9" t="s">
        <v>27</v>
      </c>
      <c r="B21" s="11">
        <v>2</v>
      </c>
      <c r="C21" s="53"/>
      <c r="D21" s="22" t="s">
        <v>28</v>
      </c>
      <c r="E21" s="23">
        <f>B9/B11</f>
        <v>2.2477971587843912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3144.6714143903109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55.080000000000041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0.96713929840761781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3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6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9.6713929840761779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3.1019316503211694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04841-6430-4B56-8EBF-BA57610BB037}">
  <sheetPr>
    <pageSetUpPr fitToPage="1"/>
  </sheetPr>
  <dimension ref="A1:M39"/>
  <sheetViews>
    <sheetView view="pageBreakPreview" zoomScale="85" zoomScaleNormal="85" zoomScaleSheetLayoutView="85" workbookViewId="0">
      <selection activeCell="F18" sqref="F18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60</v>
      </c>
      <c r="E1" s="56">
        <v>46036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566.33000000000004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807.59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675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215.12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241.26</v>
      </c>
      <c r="C13" s="2" t="s">
        <v>4</v>
      </c>
      <c r="D13" s="50" t="s">
        <v>62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2</v>
      </c>
      <c r="G14" t="s">
        <v>17</v>
      </c>
    </row>
    <row r="15" spans="1:13" ht="15.75" thickBot="1" x14ac:dyDescent="0.3">
      <c r="A15" s="14" t="s">
        <v>18</v>
      </c>
      <c r="B15" s="54">
        <f>B13+E11</f>
        <v>546.26</v>
      </c>
      <c r="C15" s="2" t="s">
        <v>4</v>
      </c>
      <c r="D15" s="17" t="s">
        <v>19</v>
      </c>
      <c r="E15" s="18"/>
      <c r="F15" s="13">
        <v>250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1000</v>
      </c>
      <c r="G16" t="s">
        <v>4</v>
      </c>
    </row>
    <row r="17" spans="1:8" ht="15.75" thickBot="1" x14ac:dyDescent="0.3">
      <c r="A17" s="9" t="s">
        <v>21</v>
      </c>
      <c r="B17" s="11">
        <v>50</v>
      </c>
      <c r="D17" s="21" t="s">
        <v>22</v>
      </c>
      <c r="E17" s="5"/>
      <c r="F17" s="13">
        <v>1250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61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 t="s">
        <v>26</v>
      </c>
      <c r="C20" s="2"/>
      <c r="F20" s="2"/>
    </row>
    <row r="21" spans="1:8" ht="15.75" thickBot="1" x14ac:dyDescent="0.3">
      <c r="A21" s="9" t="s">
        <v>27</v>
      </c>
      <c r="B21" s="11">
        <v>2</v>
      </c>
      <c r="C21" s="53"/>
      <c r="D21" s="22" t="s">
        <v>28</v>
      </c>
      <c r="E21" s="23">
        <f>B9/B11</f>
        <v>3.1377835626626998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2252.7313721341211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20.07000000000005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0.94742580450634195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3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6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9.4742580450634186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6.3329497375536565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239FD-FB42-429D-9B17-BF6102B329B0}">
  <sheetPr>
    <pageSetUpPr fitToPage="1"/>
  </sheetPr>
  <dimension ref="A1:M39"/>
  <sheetViews>
    <sheetView view="pageBreakPreview" zoomScale="85" zoomScaleNormal="85" zoomScaleSheetLayoutView="85" workbookViewId="0">
      <selection activeCell="C6" sqref="C6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65</v>
      </c>
      <c r="E1" s="56">
        <v>46048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512.5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651.42999999999995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600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86.2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138.92999999999995</v>
      </c>
      <c r="C13" s="2" t="s">
        <v>4</v>
      </c>
      <c r="D13" s="50" t="s">
        <v>63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3</v>
      </c>
      <c r="G14" t="s">
        <v>17</v>
      </c>
    </row>
    <row r="15" spans="1:13" ht="15.75" thickBot="1" x14ac:dyDescent="0.3">
      <c r="A15" s="14" t="s">
        <v>18</v>
      </c>
      <c r="B15" s="54">
        <f>B13+E11</f>
        <v>443.92999999999995</v>
      </c>
      <c r="C15" s="2" t="s">
        <v>4</v>
      </c>
      <c r="D15" s="17" t="s">
        <v>19</v>
      </c>
      <c r="E15" s="18"/>
      <c r="F15" s="13">
        <v>200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700</v>
      </c>
      <c r="G16" t="s">
        <v>4</v>
      </c>
    </row>
    <row r="17" spans="1:8" ht="15.75" thickBot="1" x14ac:dyDescent="0.3">
      <c r="A17" s="9" t="s">
        <v>21</v>
      </c>
      <c r="B17" s="11">
        <v>90</v>
      </c>
      <c r="D17" s="21" t="s">
        <v>22</v>
      </c>
      <c r="E17" s="5"/>
      <c r="F17" s="13">
        <v>900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64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 t="s">
        <v>26</v>
      </c>
      <c r="C20" s="2"/>
      <c r="F20" s="2"/>
    </row>
    <row r="21" spans="1:8" ht="15.75" thickBot="1" x14ac:dyDescent="0.3">
      <c r="A21" s="9" t="s">
        <v>27</v>
      </c>
      <c r="B21" s="11">
        <v>2</v>
      </c>
      <c r="C21" s="53"/>
      <c r="D21" s="22" t="s">
        <v>28</v>
      </c>
      <c r="E21" s="23">
        <f>B9/B11</f>
        <v>6.9605568445475638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3290.2842338841974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68.57000000000005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1.7676689428210808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3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6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17.676689428210807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2.3760105177257245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511D0-0FC3-48BB-9D5C-242D95CC52BE}">
  <sheetPr>
    <pageSetUpPr fitToPage="1"/>
  </sheetPr>
  <dimension ref="A1:M39"/>
  <sheetViews>
    <sheetView view="pageBreakPreview" zoomScale="85" zoomScaleNormal="85" zoomScaleSheetLayoutView="85" workbookViewId="0">
      <selection activeCell="C10" sqref="C10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66</v>
      </c>
      <c r="E1" s="56">
        <v>46049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854.98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1334.09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825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588.24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479.1099999999999</v>
      </c>
      <c r="C13" s="2" t="s">
        <v>4</v>
      </c>
      <c r="D13" s="50" t="s">
        <v>68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5</v>
      </c>
      <c r="G14" t="s">
        <v>17</v>
      </c>
    </row>
    <row r="15" spans="1:13" ht="15.75" thickBot="1" x14ac:dyDescent="0.3">
      <c r="A15" s="14" t="s">
        <v>18</v>
      </c>
      <c r="B15" s="54">
        <f>B13+E11</f>
        <v>784.1099999999999</v>
      </c>
      <c r="C15" s="2" t="s">
        <v>4</v>
      </c>
      <c r="D15" s="17" t="s">
        <v>19</v>
      </c>
      <c r="E15" s="18"/>
      <c r="F15" s="13">
        <v>913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600</v>
      </c>
      <c r="G16" t="s">
        <v>4</v>
      </c>
    </row>
    <row r="17" spans="1:8" ht="15.75" thickBot="1" x14ac:dyDescent="0.3">
      <c r="A17" s="9" t="s">
        <v>21</v>
      </c>
      <c r="B17" s="11">
        <v>50</v>
      </c>
      <c r="D17" s="21" t="s">
        <v>22</v>
      </c>
      <c r="E17" s="5"/>
      <c r="F17" s="13">
        <v>1513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67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 t="s">
        <v>26</v>
      </c>
      <c r="C20" s="2"/>
      <c r="F20" s="2"/>
    </row>
    <row r="21" spans="1:8" ht="15.75" thickBot="1" x14ac:dyDescent="0.3">
      <c r="A21" s="9" t="s">
        <v>27</v>
      </c>
      <c r="B21" s="11">
        <v>4</v>
      </c>
      <c r="C21" s="53"/>
      <c r="D21" s="22" t="s">
        <v>28</v>
      </c>
      <c r="E21" s="23">
        <f>B9/B11</f>
        <v>1.4024887800897592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10080.057068441782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70.870000000000118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3.7629211406535141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7.5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15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15.051684562614057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2.3917588659423652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C72DD-4F4E-4BE5-9758-DF724131CF3A}">
  <sheetPr>
    <pageSetUpPr fitToPage="1"/>
  </sheetPr>
  <dimension ref="A1:M39"/>
  <sheetViews>
    <sheetView view="pageBreakPreview" zoomScale="85" zoomScaleNormal="85" zoomScaleSheetLayoutView="85" workbookViewId="0">
      <selection activeCell="D13" sqref="D13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69</v>
      </c>
      <c r="E1" s="56">
        <v>46050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576.41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812.87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600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295.10000000000002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236.46000000000004</v>
      </c>
      <c r="C13" s="2" t="s">
        <v>4</v>
      </c>
      <c r="D13" s="50" t="s">
        <v>68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0.27</v>
      </c>
      <c r="G14" t="s">
        <v>17</v>
      </c>
    </row>
    <row r="15" spans="1:13" ht="15.75" thickBot="1" x14ac:dyDescent="0.3">
      <c r="A15" s="14" t="s">
        <v>18</v>
      </c>
      <c r="B15" s="54">
        <f>B13+E11</f>
        <v>541.46</v>
      </c>
      <c r="C15" s="2" t="s">
        <v>4</v>
      </c>
      <c r="D15" s="17" t="s">
        <v>19</v>
      </c>
      <c r="E15" s="18"/>
      <c r="F15" s="13">
        <v>590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405</v>
      </c>
      <c r="G16" t="s">
        <v>4</v>
      </c>
    </row>
    <row r="17" spans="1:8" ht="15.75" thickBot="1" x14ac:dyDescent="0.3">
      <c r="A17" s="9" t="s">
        <v>21</v>
      </c>
      <c r="B17" s="11">
        <v>40</v>
      </c>
      <c r="D17" s="21" t="s">
        <v>22</v>
      </c>
      <c r="E17" s="5"/>
      <c r="F17" s="13">
        <v>995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70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 t="s">
        <v>26</v>
      </c>
      <c r="C20" s="2"/>
      <c r="F20" s="2"/>
    </row>
    <row r="21" spans="1:8" ht="15.75" thickBot="1" x14ac:dyDescent="0.3">
      <c r="A21" s="9" t="s">
        <v>27</v>
      </c>
      <c r="B21" s="11">
        <v>1</v>
      </c>
      <c r="C21" s="53"/>
      <c r="D21" s="22" t="s">
        <v>28</v>
      </c>
      <c r="E21" s="23">
        <f>B9/B11</f>
        <v>2.0332090816672315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1112.5007904892177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34.949999999999932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0.29714439954713706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3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6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2.9714439954713705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8.1778421659753366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A5006-FDE8-4364-A246-BDE52736CDD1}">
  <sheetPr>
    <pageSetUpPr fitToPage="1"/>
  </sheetPr>
  <dimension ref="A1:M39"/>
  <sheetViews>
    <sheetView view="pageBreakPreview" zoomScale="85" zoomScaleNormal="85" zoomScaleSheetLayoutView="85" workbookViewId="0">
      <selection activeCell="H24" sqref="H24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73</v>
      </c>
      <c r="E1" s="56">
        <v>46055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392.67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459.22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475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62.29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66.550000000000011</v>
      </c>
      <c r="C13" s="2" t="s">
        <v>4</v>
      </c>
      <c r="D13" s="50" t="s">
        <v>71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2.5</v>
      </c>
      <c r="G14" t="s">
        <v>17</v>
      </c>
    </row>
    <row r="15" spans="1:13" ht="15.75" thickBot="1" x14ac:dyDescent="0.3">
      <c r="A15" s="14" t="s">
        <v>18</v>
      </c>
      <c r="B15" s="54">
        <f>B13+E11</f>
        <v>371.55</v>
      </c>
      <c r="C15" s="2" t="s">
        <v>4</v>
      </c>
      <c r="D15" s="17" t="s">
        <v>19</v>
      </c>
      <c r="E15" s="18"/>
      <c r="F15" s="13">
        <v>250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1600</v>
      </c>
      <c r="G16" t="s">
        <v>4</v>
      </c>
    </row>
    <row r="17" spans="1:8" ht="15.75" thickBot="1" x14ac:dyDescent="0.3">
      <c r="A17" s="9" t="s">
        <v>21</v>
      </c>
      <c r="B17" s="11">
        <v>70</v>
      </c>
      <c r="D17" s="21" t="s">
        <v>22</v>
      </c>
      <c r="E17" s="5"/>
      <c r="F17" s="13">
        <v>1850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72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 t="s">
        <v>26</v>
      </c>
      <c r="C20" s="2"/>
      <c r="F20" s="2"/>
    </row>
    <row r="21" spans="1:8" ht="15.75" thickBot="1" x14ac:dyDescent="0.3">
      <c r="A21" s="9" t="s">
        <v>27</v>
      </c>
      <c r="B21" s="11">
        <v>2</v>
      </c>
      <c r="C21" s="53"/>
      <c r="D21" s="22" t="s">
        <v>28</v>
      </c>
      <c r="E21" s="23">
        <f>B9/B11</f>
        <v>7.6256220902231497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1816.8253603983101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21.120000000000005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0.51222882818618198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3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6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5.1222882818618194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18.741623805114401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2E20-2FD6-4BBE-9303-C2D91CF142FD}">
  <sheetPr>
    <pageSetUpPr fitToPage="1"/>
  </sheetPr>
  <dimension ref="A1:M39"/>
  <sheetViews>
    <sheetView view="pageBreakPreview" zoomScale="85" zoomScaleNormal="85" zoomScaleSheetLayoutView="85" workbookViewId="0">
      <selection activeCell="E20" sqref="E20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74</v>
      </c>
      <c r="E1" s="56">
        <v>46057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696.33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1020.75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875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100.57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324.41999999999996</v>
      </c>
      <c r="C13" s="2" t="s">
        <v>4</v>
      </c>
      <c r="D13" s="50" t="s">
        <v>75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0.5</v>
      </c>
      <c r="G14" t="s">
        <v>17</v>
      </c>
    </row>
    <row r="15" spans="1:13" ht="15.75" thickBot="1" x14ac:dyDescent="0.3">
      <c r="A15" s="14" t="s">
        <v>18</v>
      </c>
      <c r="B15" s="54">
        <f>B13+E11</f>
        <v>629.41999999999996</v>
      </c>
      <c r="C15" s="2" t="s">
        <v>4</v>
      </c>
      <c r="D15" s="17" t="s">
        <v>19</v>
      </c>
      <c r="E15" s="18"/>
      <c r="F15" s="13">
        <v>250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1350</v>
      </c>
      <c r="G16" t="s">
        <v>4</v>
      </c>
    </row>
    <row r="17" spans="1:8" ht="15.75" thickBot="1" x14ac:dyDescent="0.3">
      <c r="A17" s="9" t="s">
        <v>21</v>
      </c>
      <c r="B17" s="11">
        <v>60</v>
      </c>
      <c r="D17" s="21" t="s">
        <v>22</v>
      </c>
      <c r="E17" s="5"/>
      <c r="F17" s="13">
        <v>1600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76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 t="s">
        <v>26</v>
      </c>
      <c r="C20" s="2"/>
      <c r="F20" s="2"/>
    </row>
    <row r="21" spans="1:8" ht="15.75" thickBot="1" x14ac:dyDescent="0.3">
      <c r="A21" s="9" t="s">
        <v>27</v>
      </c>
      <c r="B21" s="11">
        <v>2</v>
      </c>
      <c r="C21" s="53"/>
      <c r="D21" s="22" t="s">
        <v>28</v>
      </c>
      <c r="E21" s="23">
        <f>B9/B11</f>
        <v>8.7004076762454012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1169.9176149437058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66.910000000000082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1.8345518796196809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2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4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27.518278194295213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2.9434981152560642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EB62A-74A6-4D04-9E7C-F075EDEBEF19}">
  <sheetPr>
    <pageSetUpPr fitToPage="1"/>
  </sheetPr>
  <dimension ref="A1:M39"/>
  <sheetViews>
    <sheetView view="pageBreakPreview" zoomScale="85" zoomScaleNormal="85" zoomScaleSheetLayoutView="85" workbookViewId="0">
      <selection activeCell="C17" sqref="C17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77</v>
      </c>
      <c r="E1" s="56">
        <v>46071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567.59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791.87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650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226.17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224.27999999999997</v>
      </c>
      <c r="C13" s="2" t="s">
        <v>4</v>
      </c>
      <c r="D13" s="50" t="s">
        <v>75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4</v>
      </c>
      <c r="G14" t="s">
        <v>17</v>
      </c>
    </row>
    <row r="15" spans="1:13" ht="15.75" thickBot="1" x14ac:dyDescent="0.3">
      <c r="A15" s="14" t="s">
        <v>18</v>
      </c>
      <c r="B15" s="54">
        <f>B13+E11</f>
        <v>529.28</v>
      </c>
      <c r="C15" s="2" t="s">
        <v>4</v>
      </c>
      <c r="D15" s="17" t="s">
        <v>19</v>
      </c>
      <c r="E15" s="18"/>
      <c r="F15" s="13">
        <v>400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600</v>
      </c>
      <c r="G16" t="s">
        <v>4</v>
      </c>
    </row>
    <row r="17" spans="1:8" ht="15.75" thickBot="1" x14ac:dyDescent="0.3">
      <c r="A17" s="9" t="s">
        <v>21</v>
      </c>
      <c r="B17" s="11">
        <v>80</v>
      </c>
      <c r="D17" s="21" t="s">
        <v>22</v>
      </c>
      <c r="E17" s="5"/>
      <c r="F17" s="13">
        <v>1000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78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 t="s">
        <v>26</v>
      </c>
      <c r="C20" s="2"/>
      <c r="F20" s="2"/>
    </row>
    <row r="21" spans="1:8" ht="15.75" thickBot="1" x14ac:dyDescent="0.3">
      <c r="A21" s="9" t="s">
        <v>27</v>
      </c>
      <c r="B21" s="11">
        <v>2</v>
      </c>
      <c r="C21" s="53"/>
      <c r="D21" s="22" t="s">
        <v>28</v>
      </c>
      <c r="E21" s="23">
        <f>B9/B11</f>
        <v>2.8739443781226512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6296.4244619437595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38.310000000000059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2.25470848111078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3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6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22.547084811107798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1.5966587388833804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FF5B2-4D20-4E1D-8553-42C616859928}">
  <sheetPr>
    <pageSetUpPr fitToPage="1"/>
  </sheetPr>
  <dimension ref="A1:M39"/>
  <sheetViews>
    <sheetView view="pageBreakPreview" zoomScale="85" zoomScaleNormal="85" zoomScaleSheetLayoutView="85" workbookViewId="0">
      <selection activeCell="B9" sqref="B9"/>
    </sheetView>
  </sheetViews>
  <sheetFormatPr defaultRowHeight="15" x14ac:dyDescent="0.25"/>
  <cols>
    <col min="1" max="1" width="41" customWidth="1"/>
    <col min="2" max="2" width="12.140625" customWidth="1"/>
    <col min="3" max="3" width="26.85546875" bestFit="1" customWidth="1"/>
    <col min="4" max="4" width="41.5703125" customWidth="1"/>
    <col min="5" max="5" width="11.85546875" bestFit="1" customWidth="1"/>
    <col min="6" max="6" width="10.85546875" customWidth="1"/>
    <col min="8" max="8" width="36.42578125" bestFit="1" customWidth="1"/>
    <col min="12" max="12" width="21" bestFit="1" customWidth="1"/>
  </cols>
  <sheetData>
    <row r="1" spans="1:13" ht="15.75" x14ac:dyDescent="0.25">
      <c r="B1" s="1" t="s">
        <v>0</v>
      </c>
      <c r="C1" s="55" t="s">
        <v>79</v>
      </c>
      <c r="E1" s="56">
        <v>46071</v>
      </c>
    </row>
    <row r="2" spans="1:13" ht="6.75" customHeight="1" thickBot="1" x14ac:dyDescent="0.3">
      <c r="A2" s="2"/>
      <c r="B2" s="3"/>
      <c r="C2" s="2"/>
      <c r="D2" s="2"/>
      <c r="E2" s="2"/>
      <c r="F2" s="2"/>
    </row>
    <row r="3" spans="1:13" x14ac:dyDescent="0.25">
      <c r="A3" s="60" t="s">
        <v>1</v>
      </c>
      <c r="B3" s="61"/>
      <c r="C3" s="2"/>
      <c r="D3" s="4" t="s">
        <v>2</v>
      </c>
      <c r="E3" s="5"/>
      <c r="F3" s="2"/>
    </row>
    <row r="4" spans="1:13" x14ac:dyDescent="0.25">
      <c r="A4" s="6"/>
      <c r="B4" s="7"/>
      <c r="C4" s="2"/>
      <c r="D4" s="6" t="s">
        <v>3</v>
      </c>
      <c r="E4" s="8">
        <v>35</v>
      </c>
      <c r="F4" s="2" t="s">
        <v>4</v>
      </c>
    </row>
    <row r="5" spans="1:13" x14ac:dyDescent="0.25">
      <c r="A5" s="9" t="s">
        <v>5</v>
      </c>
      <c r="B5" s="10">
        <v>528.16</v>
      </c>
      <c r="C5" s="2" t="s">
        <v>4</v>
      </c>
      <c r="D5" s="6" t="s">
        <v>6</v>
      </c>
      <c r="E5" s="8">
        <v>15</v>
      </c>
      <c r="F5" s="2" t="s">
        <v>4</v>
      </c>
      <c r="H5" s="2"/>
    </row>
    <row r="6" spans="1:13" x14ac:dyDescent="0.25">
      <c r="A6" s="6"/>
      <c r="B6" s="7"/>
      <c r="C6" s="2"/>
      <c r="D6" s="6" t="s">
        <v>7</v>
      </c>
      <c r="E6" s="8">
        <v>100</v>
      </c>
      <c r="F6" s="2" t="s">
        <v>4</v>
      </c>
    </row>
    <row r="7" spans="1:13" x14ac:dyDescent="0.25">
      <c r="A7" s="9" t="s">
        <v>8</v>
      </c>
      <c r="B7" s="11">
        <v>741.35</v>
      </c>
      <c r="C7" s="2" t="s">
        <v>4</v>
      </c>
      <c r="D7" s="6" t="s">
        <v>9</v>
      </c>
      <c r="E7" s="8">
        <v>100</v>
      </c>
      <c r="F7" s="2" t="s">
        <v>4</v>
      </c>
      <c r="H7" s="2"/>
      <c r="M7" s="38"/>
    </row>
    <row r="8" spans="1:13" x14ac:dyDescent="0.25">
      <c r="A8" s="6"/>
      <c r="B8" s="7"/>
      <c r="C8" s="2"/>
      <c r="D8" s="6" t="s">
        <v>10</v>
      </c>
      <c r="E8" s="8">
        <v>5</v>
      </c>
      <c r="F8" s="2" t="s">
        <v>4</v>
      </c>
    </row>
    <row r="9" spans="1:13" x14ac:dyDescent="0.25">
      <c r="A9" s="9" t="s">
        <v>11</v>
      </c>
      <c r="B9" s="11">
        <v>680</v>
      </c>
      <c r="C9" s="2" t="s">
        <v>4</v>
      </c>
      <c r="D9" s="6" t="s">
        <v>12</v>
      </c>
      <c r="E9" s="8">
        <v>15</v>
      </c>
      <c r="F9" s="2" t="s">
        <v>4</v>
      </c>
      <c r="H9" s="2"/>
    </row>
    <row r="10" spans="1:13" ht="15.75" thickBot="1" x14ac:dyDescent="0.3">
      <c r="A10" s="6"/>
      <c r="B10" s="7"/>
      <c r="C10" s="2"/>
      <c r="D10" s="6" t="s">
        <v>13</v>
      </c>
      <c r="E10" s="8">
        <v>35</v>
      </c>
      <c r="F10" s="2" t="s">
        <v>4</v>
      </c>
    </row>
    <row r="11" spans="1:13" ht="15.75" thickBot="1" x14ac:dyDescent="0.3">
      <c r="A11" s="9" t="s">
        <v>14</v>
      </c>
      <c r="B11" s="11">
        <v>193.97</v>
      </c>
      <c r="C11" s="2" t="s">
        <v>4</v>
      </c>
      <c r="D11" s="12"/>
      <c r="E11" s="13">
        <v>305</v>
      </c>
      <c r="F11" s="2" t="s">
        <v>4</v>
      </c>
    </row>
    <row r="12" spans="1:13" ht="15.75" thickBot="1" x14ac:dyDescent="0.3">
      <c r="A12" s="6"/>
      <c r="B12" s="45"/>
      <c r="C12" s="2"/>
      <c r="D12" s="2"/>
      <c r="E12" s="2"/>
      <c r="F12" s="2"/>
    </row>
    <row r="13" spans="1:13" ht="15.75" thickBot="1" x14ac:dyDescent="0.3">
      <c r="A13" s="14" t="s">
        <v>15</v>
      </c>
      <c r="B13" s="54">
        <f>B7-B5</f>
        <v>213.19000000000005</v>
      </c>
      <c r="C13" s="2" t="s">
        <v>4</v>
      </c>
      <c r="D13" s="50" t="s">
        <v>75</v>
      </c>
      <c r="E13" s="15"/>
      <c r="F13" s="16"/>
      <c r="I13" s="44"/>
    </row>
    <row r="14" spans="1:13" ht="15.75" thickBot="1" x14ac:dyDescent="0.3">
      <c r="A14" s="6"/>
      <c r="B14" s="7"/>
      <c r="C14" s="2"/>
      <c r="D14" s="17" t="s">
        <v>16</v>
      </c>
      <c r="E14" s="18"/>
      <c r="F14" s="19">
        <v>1</v>
      </c>
      <c r="G14" t="s">
        <v>17</v>
      </c>
    </row>
    <row r="15" spans="1:13" ht="15.75" thickBot="1" x14ac:dyDescent="0.3">
      <c r="A15" s="14" t="s">
        <v>18</v>
      </c>
      <c r="B15" s="54">
        <f>B13+E11</f>
        <v>518.19000000000005</v>
      </c>
      <c r="C15" s="2" t="s">
        <v>4</v>
      </c>
      <c r="D15" s="17" t="s">
        <v>19</v>
      </c>
      <c r="E15" s="18"/>
      <c r="F15" s="13">
        <v>300</v>
      </c>
      <c r="G15" t="s">
        <v>4</v>
      </c>
    </row>
    <row r="16" spans="1:13" ht="15.75" thickBot="1" x14ac:dyDescent="0.3">
      <c r="A16" s="6"/>
      <c r="B16" s="7"/>
      <c r="C16" s="2"/>
      <c r="D16" s="17" t="s">
        <v>20</v>
      </c>
      <c r="E16" s="18"/>
      <c r="F16" s="20">
        <f>F17-F15</f>
        <v>600</v>
      </c>
      <c r="G16" t="s">
        <v>4</v>
      </c>
    </row>
    <row r="17" spans="1:8" ht="15.75" thickBot="1" x14ac:dyDescent="0.3">
      <c r="A17" s="9" t="s">
        <v>21</v>
      </c>
      <c r="B17" s="11">
        <v>40</v>
      </c>
      <c r="D17" s="21" t="s">
        <v>22</v>
      </c>
      <c r="E17" s="5"/>
      <c r="F17" s="13">
        <v>900</v>
      </c>
      <c r="G17" t="s">
        <v>4</v>
      </c>
      <c r="H17" s="47"/>
    </row>
    <row r="18" spans="1:8" ht="15.75" thickBot="1" x14ac:dyDescent="0.3">
      <c r="A18" s="6"/>
      <c r="B18" s="7"/>
      <c r="C18" s="2"/>
      <c r="D18" s="17" t="s">
        <v>23</v>
      </c>
      <c r="E18" s="18"/>
      <c r="F18" s="51" t="s">
        <v>80</v>
      </c>
      <c r="G18" t="s">
        <v>4</v>
      </c>
    </row>
    <row r="19" spans="1:8" x14ac:dyDescent="0.25">
      <c r="A19" s="9" t="s">
        <v>24</v>
      </c>
      <c r="B19" s="11">
        <v>180</v>
      </c>
      <c r="C19" s="2" t="s">
        <v>25</v>
      </c>
      <c r="D19" s="52"/>
      <c r="F19" s="49"/>
    </row>
    <row r="20" spans="1:8" ht="15.75" thickBot="1" x14ac:dyDescent="0.3">
      <c r="A20" s="6"/>
      <c r="B20" s="7" t="s">
        <v>26</v>
      </c>
      <c r="C20" s="2"/>
      <c r="F20" s="2"/>
    </row>
    <row r="21" spans="1:8" ht="15.75" thickBot="1" x14ac:dyDescent="0.3">
      <c r="A21" s="9" t="s">
        <v>27</v>
      </c>
      <c r="B21" s="11">
        <v>2</v>
      </c>
      <c r="C21" s="53"/>
      <c r="D21" s="22" t="s">
        <v>28</v>
      </c>
      <c r="E21" s="23">
        <f>B9/B11</f>
        <v>3.5056967572304996</v>
      </c>
      <c r="F21" s="2"/>
    </row>
    <row r="22" spans="1:8" ht="15.75" thickBot="1" x14ac:dyDescent="0.3">
      <c r="A22" s="6"/>
      <c r="B22" s="7"/>
      <c r="D22" s="2"/>
      <c r="E22" s="2"/>
      <c r="F22" s="2"/>
    </row>
    <row r="23" spans="1:8" ht="15.75" thickBot="1" x14ac:dyDescent="0.3">
      <c r="A23" s="14" t="s">
        <v>29</v>
      </c>
      <c r="B23" s="48">
        <f>((((B17/2)*(B17/2)*PI())*B19)*B21/(B9/B11)/100)</f>
        <v>1290.4405983885435</v>
      </c>
      <c r="C23" s="2" t="s">
        <v>30</v>
      </c>
      <c r="D23" s="24" t="s">
        <v>31</v>
      </c>
      <c r="E23" s="20">
        <v>14.43</v>
      </c>
      <c r="F23" s="2"/>
    </row>
    <row r="24" spans="1:8" ht="15.75" thickBot="1" x14ac:dyDescent="0.3">
      <c r="A24" s="6"/>
      <c r="B24" s="46"/>
      <c r="C24" s="2"/>
      <c r="F24" s="2"/>
    </row>
    <row r="25" spans="1:8" ht="15.75" thickBot="1" x14ac:dyDescent="0.3">
      <c r="A25" s="14" t="s">
        <v>32</v>
      </c>
      <c r="B25" s="25">
        <f>B5-B15</f>
        <v>9.9699999999999136</v>
      </c>
      <c r="C25" s="2" t="s">
        <v>4</v>
      </c>
      <c r="D25" s="24" t="s">
        <v>33</v>
      </c>
      <c r="E25" s="20">
        <v>5.64</v>
      </c>
      <c r="F25" s="2"/>
    </row>
    <row r="26" spans="1:8" ht="15.75" thickBot="1" x14ac:dyDescent="0.3">
      <c r="A26" s="6"/>
      <c r="B26" s="7"/>
      <c r="C26" s="2"/>
      <c r="D26" s="2"/>
      <c r="E26" s="2"/>
      <c r="F26" s="2"/>
    </row>
    <row r="27" spans="1:8" ht="15.75" thickBot="1" x14ac:dyDescent="0.3">
      <c r="A27" s="14" t="s">
        <v>34</v>
      </c>
      <c r="B27" s="25">
        <f>((((B17/2)/1000)*(((B17/2)/1000)*PI())*B13*B21))</f>
        <v>0.53580491025504662</v>
      </c>
      <c r="C27" s="2" t="s">
        <v>35</v>
      </c>
      <c r="D27" s="26" t="s">
        <v>36</v>
      </c>
      <c r="E27" s="27" t="e">
        <f>(B23/2)/(SIN(H19))</f>
        <v>#DIV/0!</v>
      </c>
      <c r="F27" s="2" t="s">
        <v>37</v>
      </c>
    </row>
    <row r="28" spans="1:8" ht="15.75" thickBot="1" x14ac:dyDescent="0.3">
      <c r="A28" s="6"/>
      <c r="B28" s="7"/>
      <c r="C28" s="2"/>
      <c r="D28" s="2"/>
      <c r="E28" s="2"/>
      <c r="F28" s="2"/>
    </row>
    <row r="29" spans="1:8" ht="15.75" thickBot="1" x14ac:dyDescent="0.3">
      <c r="A29" s="14" t="s">
        <v>38</v>
      </c>
      <c r="B29" s="25">
        <f>(B19*B31)/360</f>
        <v>3</v>
      </c>
      <c r="C29" s="2" t="s">
        <v>39</v>
      </c>
      <c r="D29" s="26" t="s">
        <v>40</v>
      </c>
      <c r="E29" s="27" t="e">
        <f>(B23/4)/(SIN(H19))</f>
        <v>#DIV/0!</v>
      </c>
      <c r="F29" s="2" t="s">
        <v>37</v>
      </c>
    </row>
    <row r="30" spans="1:8" ht="15.75" thickBot="1" x14ac:dyDescent="0.3">
      <c r="A30" s="6"/>
      <c r="B30" s="7"/>
      <c r="C30" s="2"/>
      <c r="D30" s="2"/>
      <c r="E30" s="2"/>
      <c r="F30" s="2"/>
    </row>
    <row r="31" spans="1:8" x14ac:dyDescent="0.25">
      <c r="A31" s="9" t="s">
        <v>41</v>
      </c>
      <c r="B31" s="28">
        <v>6</v>
      </c>
      <c r="C31" s="2" t="s">
        <v>42</v>
      </c>
      <c r="D31" s="29" t="s">
        <v>43</v>
      </c>
      <c r="E31" s="30"/>
      <c r="F31" s="31"/>
    </row>
    <row r="32" spans="1:8" ht="15.75" thickBot="1" x14ac:dyDescent="0.3">
      <c r="A32" s="6"/>
      <c r="B32" s="7"/>
      <c r="C32" s="2"/>
      <c r="D32" s="32" t="s">
        <v>44</v>
      </c>
      <c r="E32" s="33"/>
      <c r="F32" s="34"/>
    </row>
    <row r="33" spans="1:6" ht="15.75" thickBot="1" x14ac:dyDescent="0.3">
      <c r="A33" s="14" t="s">
        <v>45</v>
      </c>
      <c r="B33" s="25">
        <f>B27/(B31/60)</f>
        <v>5.3580491025504662</v>
      </c>
      <c r="C33" s="2" t="s">
        <v>46</v>
      </c>
      <c r="D33" s="35" t="s">
        <v>47</v>
      </c>
      <c r="E33" s="36"/>
      <c r="F33" s="37"/>
    </row>
    <row r="34" spans="1:6" ht="15.75" thickBot="1" x14ac:dyDescent="0.3">
      <c r="A34" s="6"/>
      <c r="B34" s="7"/>
      <c r="C34" s="2"/>
    </row>
    <row r="35" spans="1:6" ht="15.75" thickBot="1" x14ac:dyDescent="0.3">
      <c r="A35" s="14" t="s">
        <v>48</v>
      </c>
      <c r="B35" s="25">
        <f>((F16/B33)*60)/1000</f>
        <v>6.7188633980348866</v>
      </c>
      <c r="C35" s="2" t="s">
        <v>49</v>
      </c>
      <c r="D35" s="38" t="s">
        <v>50</v>
      </c>
      <c r="E35" s="38" t="s">
        <v>51</v>
      </c>
    </row>
    <row r="36" spans="1:6" ht="15.75" thickBot="1" x14ac:dyDescent="0.3">
      <c r="A36" s="12"/>
      <c r="B36" s="39"/>
      <c r="D36" s="40">
        <v>3.5</v>
      </c>
      <c r="E36" s="41">
        <f>D36*1.75</f>
        <v>6.125</v>
      </c>
    </row>
    <row r="37" spans="1:6" x14ac:dyDescent="0.25">
      <c r="B37" s="38"/>
      <c r="D37" s="3" t="s">
        <v>52</v>
      </c>
      <c r="E37" s="42" t="s">
        <v>53</v>
      </c>
      <c r="F37" s="2"/>
    </row>
    <row r="39" spans="1:6" x14ac:dyDescent="0.25">
      <c r="B39" s="43"/>
    </row>
  </sheetData>
  <mergeCells count="1">
    <mergeCell ref="A3:B3"/>
  </mergeCells>
  <pageMargins left="0.51181102362204722" right="0.51181102362204722" top="0.78740157480314965" bottom="0.78740157480314965" header="0.31496062992125984" footer="0.31496062992125984"/>
  <pageSetup paperSize="9" scale="88" fitToWidth="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5F52C6C026E94C968BFE31B8A0840F" ma:contentTypeVersion="16" ma:contentTypeDescription="Crie um novo documento." ma:contentTypeScope="" ma:versionID="bd3e7985b2950e5b0c5ae7fcd0331ea3">
  <xsd:schema xmlns:xsd="http://www.w3.org/2001/XMLSchema" xmlns:xs="http://www.w3.org/2001/XMLSchema" xmlns:p="http://schemas.microsoft.com/office/2006/metadata/properties" xmlns:ns2="73902cff-b9d5-4086-b262-1dfb21a23b54" xmlns:ns3="4e58c937-36c3-4315-ae1e-c4b8083a220c" targetNamespace="http://schemas.microsoft.com/office/2006/metadata/properties" ma:root="true" ma:fieldsID="7ab8db78471df86f0612e126af48bda8" ns2:_="" ns3:_="">
    <xsd:import namespace="73902cff-b9d5-4086-b262-1dfb21a23b54"/>
    <xsd:import namespace="4e58c937-36c3-4315-ae1e-c4b8083a22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902cff-b9d5-4086-b262-1dfb21a23b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eb66af59-d730-47c4-b246-bca41c8917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8c937-36c3-4315-ae1e-c4b8083a22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75a0948-5fef-4dd2-87c5-ef8a2d51bcd2}" ma:internalName="TaxCatchAll" ma:showField="CatchAllData" ma:web="4e58c937-36c3-4315-ae1e-c4b8083a22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902cff-b9d5-4086-b262-1dfb21a23b54">
      <Terms xmlns="http://schemas.microsoft.com/office/infopath/2007/PartnerControls"/>
    </lcf76f155ced4ddcb4097134ff3c332f>
    <TaxCatchAll xmlns="4e58c937-36c3-4315-ae1e-c4b8083a220c" xsi:nil="true"/>
  </documentManagement>
</p:properties>
</file>

<file path=customXml/itemProps1.xml><?xml version="1.0" encoding="utf-8"?>
<ds:datastoreItem xmlns:ds="http://schemas.openxmlformats.org/officeDocument/2006/customXml" ds:itemID="{C8D6956A-0C0C-43A1-BCC3-434798BA34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8FA5F0-B912-4588-8F82-FBDD052F01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902cff-b9d5-4086-b262-1dfb21a23b54"/>
    <ds:schemaRef ds:uri="4e58c937-36c3-4315-ae1e-c4b8083a22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6AD926-6451-4897-BFA7-B9E862197715}">
  <ds:schemaRefs>
    <ds:schemaRef ds:uri="http://schemas.openxmlformats.org/package/2006/metadata/core-properties"/>
    <ds:schemaRef ds:uri="4e58c937-36c3-4315-ae1e-c4b8083a220c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purl.org/dc/terms/"/>
    <ds:schemaRef ds:uri="73902cff-b9d5-4086-b262-1dfb21a23b54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90</vt:i4>
      </vt:variant>
      <vt:variant>
        <vt:lpstr>Intervalos Nomeados</vt:lpstr>
      </vt:variant>
      <vt:variant>
        <vt:i4>14</vt:i4>
      </vt:variant>
    </vt:vector>
  </HeadingPairs>
  <TitlesOfParts>
    <vt:vector size="104" baseType="lpstr">
      <vt:lpstr>419-26 ROMAGNOLE</vt:lpstr>
      <vt:lpstr>357-26 ARCELOR</vt:lpstr>
      <vt:lpstr>438-26 ARCELOR MITAL</vt:lpstr>
      <vt:lpstr>423-26 - BRÁS METAL</vt:lpstr>
      <vt:lpstr>384-26 - DAIDO </vt:lpstr>
      <vt:lpstr>395-26 ACTIVE</vt:lpstr>
      <vt:lpstr>417-26 - CASSIOLI</vt:lpstr>
      <vt:lpstr>408-26 ERZINGER</vt:lpstr>
      <vt:lpstr>411-26 ARCELOR MITTAL</vt:lpstr>
      <vt:lpstr>403-26 JACTO</vt:lpstr>
      <vt:lpstr>372-26 SCHULZ</vt:lpstr>
      <vt:lpstr>086-26 JACTO REV3</vt:lpstr>
      <vt:lpstr>086-26 JACTO REV2</vt:lpstr>
      <vt:lpstr>362-26 FRANKLIN</vt:lpstr>
      <vt:lpstr>331-26 ITAIPU</vt:lpstr>
      <vt:lpstr>332-26 ASA HIDRAULYC</vt:lpstr>
      <vt:lpstr>342-26 ARCELOR MITTAL</vt:lpstr>
      <vt:lpstr>275-26 CEZARINO</vt:lpstr>
      <vt:lpstr>324-26 TERMOMECANICA</vt:lpstr>
      <vt:lpstr>117-25 - HAVER 1 TON</vt:lpstr>
      <vt:lpstr>117-25 - HAVER 3 TON</vt:lpstr>
      <vt:lpstr>323-26 NETZSCH 1500kg</vt:lpstr>
      <vt:lpstr>322-26 NETZSCH 800KG</vt:lpstr>
      <vt:lpstr>225-26 AD ART ARTEFATOS</vt:lpstr>
      <vt:lpstr>219-26 STELBEN</vt:lpstr>
      <vt:lpstr>153-26 DAIDO</vt:lpstr>
      <vt:lpstr>296-26 EVAPCO</vt:lpstr>
      <vt:lpstr>082-25 JACTO</vt:lpstr>
      <vt:lpstr>282-26 DOVER</vt:lpstr>
      <vt:lpstr>238-26 WEG BLUMENAU</vt:lpstr>
      <vt:lpstr>300-26 ALFA LAVAL</vt:lpstr>
      <vt:lpstr>272-26 ABB</vt:lpstr>
      <vt:lpstr>237-26 WEIR</vt:lpstr>
      <vt:lpstr>256-26 TUNKERS</vt:lpstr>
      <vt:lpstr>253-26 RICCÓ</vt:lpstr>
      <vt:lpstr>222-26 LITORAL PERFIS</vt:lpstr>
      <vt:lpstr>220-26 HITACHI ENERGY (M2)</vt:lpstr>
      <vt:lpstr>220-26 HITACHI ENERGY (M1)</vt:lpstr>
      <vt:lpstr>201-26 AL PUXADORES</vt:lpstr>
      <vt:lpstr>205-26 EBARA BOMBAS</vt:lpstr>
      <vt:lpstr>199-26 GEA</vt:lpstr>
      <vt:lpstr>198-26 MARCHETTI</vt:lpstr>
      <vt:lpstr>197-26 ODYCELL</vt:lpstr>
      <vt:lpstr>209-25 TOLEDO</vt:lpstr>
      <vt:lpstr>188-26 TSEA ENERGY</vt:lpstr>
      <vt:lpstr>169-26 YURI COGUMELOS</vt:lpstr>
      <vt:lpstr>167-26 ANDINO</vt:lpstr>
      <vt:lpstr>168-26 OFFHORE</vt:lpstr>
      <vt:lpstr>202-26 HYGIELINE</vt:lpstr>
      <vt:lpstr>182-26 TEADIT</vt:lpstr>
      <vt:lpstr>180-26 DATA ENGENHARIA</vt:lpstr>
      <vt:lpstr>172-26 GREENBRIER MAXION</vt:lpstr>
      <vt:lpstr>174-26 JAKES FACHINETTE</vt:lpstr>
      <vt:lpstr>189-26 PRINTSTORE</vt:lpstr>
      <vt:lpstr>177-26 NISSAN</vt:lpstr>
      <vt:lpstr>176-26 DURR</vt:lpstr>
      <vt:lpstr>193-26 KME</vt:lpstr>
      <vt:lpstr>158-26 HONDA</vt:lpstr>
      <vt:lpstr>109-26 DURR</vt:lpstr>
      <vt:lpstr>139-26 NETZSCH</vt:lpstr>
      <vt:lpstr>145-26 CECIL</vt:lpstr>
      <vt:lpstr>144-26 MOLAS MARCHETTI</vt:lpstr>
      <vt:lpstr>141-26 XCMG</vt:lpstr>
      <vt:lpstr>123-26 ZIKELI</vt:lpstr>
      <vt:lpstr>142-26 SEE SISTEMAS</vt:lpstr>
      <vt:lpstr>133-26 CSM</vt:lpstr>
      <vt:lpstr>130-26 COLOMBOTEC</vt:lpstr>
      <vt:lpstr>098-26 INCOFLANDERS</vt:lpstr>
      <vt:lpstr>112-26 AÇO CEARENSE</vt:lpstr>
      <vt:lpstr>110-26 SAI-BR</vt:lpstr>
      <vt:lpstr>462-25 CONVOY</vt:lpstr>
      <vt:lpstr>083-26 HAVER</vt:lpstr>
      <vt:lpstr>089-26 SUMARÉ 3D</vt:lpstr>
      <vt:lpstr>090-26 NETZSCH 5T</vt:lpstr>
      <vt:lpstr>090-26 NETZSCH 3T</vt:lpstr>
      <vt:lpstr>085-26 CASSIOLI</vt:lpstr>
      <vt:lpstr>077-26 IDEAL TRANSPORTES</vt:lpstr>
      <vt:lpstr>071-26 IDV</vt:lpstr>
      <vt:lpstr>064-26 FALCARE</vt:lpstr>
      <vt:lpstr>061-26 COFERPA</vt:lpstr>
      <vt:lpstr>005-26 GRUPO BUENO</vt:lpstr>
      <vt:lpstr>499-25 PETROBRÁS</vt:lpstr>
      <vt:lpstr>003-26 MOHAWK</vt:lpstr>
      <vt:lpstr>028-26 SCM</vt:lpstr>
      <vt:lpstr>029-26 MAQUIMASA</vt:lpstr>
      <vt:lpstr>030-26 BRETON</vt:lpstr>
      <vt:lpstr>042-26 SEE</vt:lpstr>
      <vt:lpstr>044-26 GUIMEPA</vt:lpstr>
      <vt:lpstr>055-26 AMSTEDMAXION</vt:lpstr>
      <vt:lpstr>056-26 COMEXPORT</vt:lpstr>
      <vt:lpstr>'123-26 ZIKELI'!Area_de_impressao</vt:lpstr>
      <vt:lpstr>'133-26 CSM'!Area_de_impressao</vt:lpstr>
      <vt:lpstr>'139-26 NETZSCH'!Area_de_impressao</vt:lpstr>
      <vt:lpstr>'141-26 XCMG'!Area_de_impressao</vt:lpstr>
      <vt:lpstr>'142-26 SEE SISTEMAS'!Area_de_impressao</vt:lpstr>
      <vt:lpstr>'144-26 MOLAS MARCHETTI'!Area_de_impressao</vt:lpstr>
      <vt:lpstr>'145-26 CECIL'!Area_de_impressao</vt:lpstr>
      <vt:lpstr>'357-26 ARCELOR'!Area_de_impressao</vt:lpstr>
      <vt:lpstr>'384-26 - DAIDO '!Area_de_impressao</vt:lpstr>
      <vt:lpstr>'395-26 ACTIVE'!Area_de_impressao</vt:lpstr>
      <vt:lpstr>'417-26 - CASSIOLI'!Area_de_impressao</vt:lpstr>
      <vt:lpstr>'419-26 ROMAGNOLE'!Area_de_impressao</vt:lpstr>
      <vt:lpstr>'423-26 - BRÁS METAL'!Area_de_impressao</vt:lpstr>
      <vt:lpstr>'438-26 ARCELOR MITAL'!Area_de_impressao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projeto</dc:creator>
  <cp:keywords/>
  <dc:description/>
  <cp:lastModifiedBy>Robson Reway</cp:lastModifiedBy>
  <cp:revision/>
  <cp:lastPrinted>2026-10-07T13:30:51Z</cp:lastPrinted>
  <dcterms:created xsi:type="dcterms:W3CDTF">2015-05-04T13:00:28Z</dcterms:created>
  <dcterms:modified xsi:type="dcterms:W3CDTF">2026-10-07T13:30:57Z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0x0101007F5F52C6C026E94C968BFE31B8A0840F</vt:lpwstr>
  </property>
  <property fmtid="{D5CDD505-2E9C-101B-9397-08002B2CF9AE}" pid="3" name="MediaServiceImageTags">
    <vt:lpwstr/>
  </property>
</Properties>
</file>