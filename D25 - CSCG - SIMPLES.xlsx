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gedgrande.sharepoint.com/sites/comercial/Arquivos/004 ÁREA TÉCNICA/01 - CUSTOS/2026/01 - BASE DE CUSTOS - DGRANDE/"/>
    </mc:Choice>
  </mc:AlternateContent>
  <xr:revisionPtr revIDLastSave="1" documentId="8_{7DA450F0-4AD4-476F-A146-A0AB2C7AE9B6}" xr6:coauthVersionLast="47" xr6:coauthVersionMax="47" xr10:uidLastSave="{CA3F5DF7-880E-4C19-8B78-D7681D02769B}"/>
  <bookViews>
    <workbookView xWindow="-20610" yWindow="-120" windowWidth="20730" windowHeight="11040" activeTab="2" xr2:uid="{16A4F885-1696-48DE-AAE5-EB8905F17EC6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7" i="1" l="1"/>
  <c r="E109" i="1"/>
  <c r="E108" i="1"/>
  <c r="K119" i="1"/>
  <c r="F117" i="1" s="1"/>
  <c r="E117" i="1" s="1"/>
  <c r="E3" i="1"/>
  <c r="C27" i="1" s="1"/>
  <c r="D27" i="1" s="1"/>
  <c r="C111" i="1"/>
  <c r="E111" i="1" s="1"/>
  <c r="C42" i="1"/>
  <c r="D42" i="1" s="1"/>
  <c r="C36" i="1"/>
  <c r="D36" i="1" s="1"/>
  <c r="E153" i="1"/>
  <c r="E151" i="1"/>
  <c r="E161" i="1"/>
  <c r="S20" i="1"/>
  <c r="R20" i="1" s="1"/>
  <c r="Q20" i="1" s="1"/>
  <c r="P20" i="1" s="1"/>
  <c r="O20" i="1" s="1"/>
  <c r="N20" i="1" s="1"/>
  <c r="M20" i="1" s="1"/>
  <c r="L20" i="1" s="1"/>
  <c r="S19" i="1"/>
  <c r="R19" i="1" s="1"/>
  <c r="Q19" i="1" s="1"/>
  <c r="P19" i="1" s="1"/>
  <c r="O19" i="1" s="1"/>
  <c r="N19" i="1" s="1"/>
  <c r="M19" i="1" s="1"/>
  <c r="L19" i="1" s="1"/>
  <c r="S18" i="1"/>
  <c r="R18" i="1" s="1"/>
  <c r="Q18" i="1" s="1"/>
  <c r="P18" i="1" s="1"/>
  <c r="O18" i="1" s="1"/>
  <c r="N18" i="1" s="1"/>
  <c r="M18" i="1" s="1"/>
  <c r="S17" i="1"/>
  <c r="R17" i="1" s="1"/>
  <c r="Q17" i="1" s="1"/>
  <c r="P17" i="1" s="1"/>
  <c r="O17" i="1" s="1"/>
  <c r="N17" i="1" s="1"/>
  <c r="M17" i="1" s="1"/>
  <c r="S16" i="1"/>
  <c r="R16" i="1" s="1"/>
  <c r="Q16" i="1" s="1"/>
  <c r="P16" i="1" s="1"/>
  <c r="O16" i="1" s="1"/>
  <c r="N16" i="1" s="1"/>
  <c r="M16" i="1" s="1"/>
  <c r="L16" i="1" s="1"/>
  <c r="S15" i="1"/>
  <c r="R15" i="1" s="1"/>
  <c r="Q15" i="1" s="1"/>
  <c r="P15" i="1" s="1"/>
  <c r="O15" i="1" s="1"/>
  <c r="N15" i="1" s="1"/>
  <c r="M15" i="1" s="1"/>
  <c r="S14" i="1"/>
  <c r="R14" i="1" s="1"/>
  <c r="Q14" i="1" s="1"/>
  <c r="P14" i="1" s="1"/>
  <c r="O14" i="1" s="1"/>
  <c r="N14" i="1" s="1"/>
  <c r="M14" i="1" s="1"/>
  <c r="S13" i="1"/>
  <c r="R13" i="1" s="1"/>
  <c r="Q13" i="1" s="1"/>
  <c r="P13" i="1" s="1"/>
  <c r="O13" i="1" s="1"/>
  <c r="N13" i="1" s="1"/>
  <c r="M13" i="1" s="1"/>
  <c r="L13" i="1" s="1"/>
  <c r="F4" i="1" s="1"/>
  <c r="E13" i="1"/>
  <c r="E12" i="1"/>
  <c r="C34" i="1" s="1"/>
  <c r="D34" i="1" s="1"/>
  <c r="L4" i="1"/>
  <c r="M4" i="1" s="1"/>
  <c r="M5" i="1" s="1"/>
  <c r="C51" i="1"/>
  <c r="D51" i="1" s="1"/>
  <c r="C28" i="1"/>
  <c r="D28" i="1" s="1"/>
  <c r="F118" i="1"/>
  <c r="E118" i="1" s="1"/>
  <c r="D9" i="3"/>
  <c r="D10" i="3"/>
  <c r="C9" i="3"/>
  <c r="C10" i="3"/>
  <c r="B9" i="3"/>
  <c r="B10" i="3"/>
  <c r="D35" i="1"/>
  <c r="D37" i="1"/>
  <c r="C25" i="1"/>
  <c r="D25" i="1" s="1"/>
  <c r="C68" i="1"/>
  <c r="C66" i="1"/>
  <c r="C65" i="1"/>
  <c r="C64" i="1"/>
  <c r="C63" i="1"/>
  <c r="C62" i="1"/>
  <c r="C61" i="1"/>
  <c r="C60" i="1"/>
  <c r="B60" i="1"/>
  <c r="B64" i="1" s="1"/>
  <c r="C26" i="1"/>
  <c r="D26" i="1" s="1"/>
  <c r="C31" i="1"/>
  <c r="D31" i="1" s="1"/>
  <c r="C39" i="1"/>
  <c r="D39" i="1"/>
  <c r="C49" i="1"/>
  <c r="D49" i="1" s="1"/>
  <c r="C57" i="1"/>
  <c r="D57" i="1" s="1"/>
  <c r="C89" i="1"/>
  <c r="D89" i="1" s="1"/>
  <c r="C30" i="1"/>
  <c r="D30" i="1" s="1"/>
  <c r="C88" i="1"/>
  <c r="D88" i="1" s="1"/>
  <c r="A24" i="2"/>
  <c r="J18" i="2"/>
  <c r="C40" i="1"/>
  <c r="D40" i="1" s="1"/>
  <c r="C41" i="1"/>
  <c r="D41" i="1" s="1"/>
  <c r="C43" i="1"/>
  <c r="D43" i="1" s="1"/>
  <c r="C44" i="1"/>
  <c r="D44" i="1" s="1"/>
  <c r="C45" i="1"/>
  <c r="D45" i="1" s="1"/>
  <c r="C46" i="1"/>
  <c r="D46" i="1" s="1"/>
  <c r="C47" i="1"/>
  <c r="D47" i="1" s="1"/>
  <c r="C52" i="1"/>
  <c r="D52" i="1"/>
  <c r="C53" i="1"/>
  <c r="D53" i="1" s="1"/>
  <c r="C54" i="1"/>
  <c r="D54" i="1" s="1"/>
  <c r="C55" i="1"/>
  <c r="D55" i="1" s="1"/>
  <c r="C56" i="1"/>
  <c r="D56" i="1" s="1"/>
  <c r="D58" i="1"/>
  <c r="C70" i="1"/>
  <c r="D70" i="1" s="1"/>
  <c r="E71" i="1"/>
  <c r="E72" i="1"/>
  <c r="E74" i="1"/>
  <c r="E75" i="1"/>
  <c r="E76" i="1"/>
  <c r="E77" i="1"/>
  <c r="E78" i="1"/>
  <c r="E79" i="1"/>
  <c r="C81" i="1"/>
  <c r="D81" i="1" s="1"/>
  <c r="C82" i="1"/>
  <c r="D82" i="1" s="1"/>
  <c r="C83" i="1"/>
  <c r="D83" i="1"/>
  <c r="C84" i="1"/>
  <c r="D84" i="1" s="1"/>
  <c r="C85" i="1"/>
  <c r="D85" i="1" s="1"/>
  <c r="C86" i="1"/>
  <c r="D86" i="1" s="1"/>
  <c r="C87" i="1"/>
  <c r="D87" i="1" s="1"/>
  <c r="E91" i="1"/>
  <c r="E92" i="1"/>
  <c r="E93" i="1"/>
  <c r="E94" i="1"/>
  <c r="E95" i="1"/>
  <c r="E96" i="1"/>
  <c r="E97" i="1"/>
  <c r="E98" i="1"/>
  <c r="E99" i="1"/>
  <c r="E100" i="1"/>
  <c r="E101" i="1"/>
  <c r="E102" i="1"/>
  <c r="E113" i="1"/>
  <c r="E121" i="1"/>
  <c r="E122" i="1"/>
  <c r="E123" i="1"/>
  <c r="E124" i="1"/>
  <c r="E126" i="1"/>
  <c r="E128" i="1"/>
  <c r="E129" i="1"/>
  <c r="E131" i="1"/>
  <c r="E133" i="1"/>
  <c r="E134" i="1"/>
  <c r="E136" i="1"/>
  <c r="E137" i="1"/>
  <c r="E138" i="1"/>
  <c r="E139" i="1"/>
  <c r="E141" i="1"/>
  <c r="E142" i="1"/>
  <c r="E143" i="1"/>
  <c r="E144" i="1"/>
  <c r="E145" i="1"/>
  <c r="E149" i="1"/>
  <c r="E155" i="1"/>
  <c r="E157" i="1"/>
  <c r="C48" i="1"/>
  <c r="D48" i="1" s="1"/>
  <c r="C32" i="1"/>
  <c r="D32" i="1" s="1"/>
  <c r="C67" i="1"/>
  <c r="F147" i="1"/>
  <c r="B65" i="1" l="1"/>
  <c r="E158" i="1"/>
  <c r="C33" i="1"/>
  <c r="D33" i="1" s="1"/>
  <c r="B67" i="1"/>
  <c r="D67" i="1" s="1"/>
  <c r="E67" i="1" s="1"/>
  <c r="B63" i="1"/>
  <c r="D63" i="1" s="1"/>
  <c r="F11" i="1"/>
  <c r="E56" i="1" s="1"/>
  <c r="F15" i="1"/>
  <c r="F16" i="1"/>
  <c r="F10" i="1"/>
  <c r="E49" i="1" s="1"/>
  <c r="F2" i="1"/>
  <c r="E31" i="1" s="1"/>
  <c r="F17" i="1"/>
  <c r="F18" i="1"/>
  <c r="F21" i="1"/>
  <c r="E88" i="1" s="1"/>
  <c r="F14" i="1"/>
  <c r="E36" i="1" s="1"/>
  <c r="E57" i="1"/>
  <c r="F20" i="1"/>
  <c r="F19" i="1"/>
  <c r="E82" i="1" s="1"/>
  <c r="F5" i="1"/>
  <c r="E40" i="1" s="1"/>
  <c r="F8" i="1"/>
  <c r="E43" i="1" s="1"/>
  <c r="F6" i="1"/>
  <c r="E41" i="1" s="1"/>
  <c r="F12" i="1"/>
  <c r="F7" i="1"/>
  <c r="E42" i="1" s="1"/>
  <c r="F9" i="1"/>
  <c r="E48" i="1" s="1"/>
  <c r="F13" i="1"/>
  <c r="E35" i="1" s="1"/>
  <c r="F3" i="1"/>
  <c r="E37" i="1" s="1"/>
  <c r="E25" i="1"/>
  <c r="E30" i="1"/>
  <c r="E39" i="1"/>
  <c r="E26" i="1"/>
  <c r="E51" i="1"/>
  <c r="E89" i="1"/>
  <c r="D64" i="1"/>
  <c r="E119" i="1"/>
  <c r="D65" i="1"/>
  <c r="E65" i="1" s="1"/>
  <c r="B73" i="1"/>
  <c r="E73" i="1" s="1"/>
  <c r="B68" i="1"/>
  <c r="D68" i="1" s="1"/>
  <c r="D60" i="1"/>
  <c r="B66" i="1"/>
  <c r="D66" i="1" s="1"/>
  <c r="E66" i="1" s="1"/>
  <c r="B104" i="1"/>
  <c r="B61" i="1"/>
  <c r="D61" i="1" s="1"/>
  <c r="B62" i="1"/>
  <c r="D62" i="1" s="1"/>
  <c r="E62" i="1" s="1"/>
  <c r="B103" i="1"/>
  <c r="E103" i="1" s="1"/>
  <c r="E61" i="1" l="1"/>
  <c r="E33" i="1"/>
  <c r="E63" i="1"/>
  <c r="E28" i="1"/>
  <c r="E68" i="1"/>
  <c r="E32" i="1"/>
  <c r="E64" i="1"/>
  <c r="E83" i="1"/>
  <c r="E34" i="1"/>
  <c r="E27" i="1"/>
  <c r="E84" i="1"/>
  <c r="E86" i="1"/>
  <c r="E70" i="1"/>
  <c r="E81" i="1"/>
  <c r="E54" i="1"/>
  <c r="E44" i="1"/>
  <c r="E52" i="1"/>
  <c r="E46" i="1"/>
  <c r="E85" i="1"/>
  <c r="E87" i="1"/>
  <c r="E58" i="1"/>
  <c r="E60" i="1"/>
  <c r="E53" i="1"/>
  <c r="E45" i="1"/>
  <c r="E47" i="1"/>
  <c r="E55" i="1"/>
  <c r="D114" i="1"/>
  <c r="B105" i="1"/>
  <c r="E105" i="1" s="1"/>
  <c r="E104" i="1"/>
  <c r="I63" i="1" l="1"/>
  <c r="E114" i="1"/>
  <c r="A7" i="2" s="1"/>
  <c r="A10" i="2" s="1"/>
  <c r="A13" i="2" s="1"/>
  <c r="B20" i="3" s="1"/>
  <c r="A17" i="2" l="1"/>
  <c r="J19" i="2" s="1"/>
  <c r="B12" i="3"/>
  <c r="C12" i="3" s="1"/>
  <c r="C13" i="3" s="1"/>
  <c r="C14" i="3" s="1"/>
  <c r="D20" i="3"/>
  <c r="D21" i="3"/>
  <c r="H24" i="2" l="1"/>
  <c r="H25" i="2" s="1"/>
  <c r="A21" i="2"/>
  <c r="A29" i="2" s="1"/>
  <c r="D12" i="3"/>
  <c r="D13" i="3" s="1"/>
  <c r="D14" i="3" s="1"/>
  <c r="B13" i="3"/>
  <c r="B14" i="3" s="1"/>
  <c r="H26" i="2"/>
  <c r="H17" i="2" s="1"/>
  <c r="J20" i="2"/>
  <c r="K19" i="2" s="1"/>
  <c r="C29" i="2" l="1"/>
  <c r="C30" i="2" s="1"/>
  <c r="H30" i="2" s="1"/>
</calcChain>
</file>

<file path=xl/sharedStrings.xml><?xml version="1.0" encoding="utf-8"?>
<sst xmlns="http://schemas.openxmlformats.org/spreadsheetml/2006/main" count="224" uniqueCount="200">
  <si>
    <t>descrição</t>
  </si>
  <si>
    <t>peso total</t>
  </si>
  <si>
    <t>preço total</t>
  </si>
  <si>
    <t>QUANTIDADE DE MÁQUINAS</t>
  </si>
  <si>
    <t>TOTAL MATERIAL</t>
  </si>
  <si>
    <t>PERCENTUAL DE MANUSEIO DO MATERIAL</t>
  </si>
  <si>
    <t>MANUSEIO</t>
  </si>
  <si>
    <t>%</t>
  </si>
  <si>
    <t>CUSTO MATERIAL</t>
  </si>
  <si>
    <t>PREÇO VENDA ESTIMADO</t>
  </si>
  <si>
    <t>LÍQUIDO SEM DESCONTAR MÃO DE OBRA</t>
  </si>
  <si>
    <t>MÃO OBRA</t>
  </si>
  <si>
    <t>QUANTIDADE DE HORAS</t>
  </si>
  <si>
    <t>COM. INT.</t>
  </si>
  <si>
    <t>REPRES.</t>
  </si>
  <si>
    <t>LUCRO BRUTO</t>
  </si>
  <si>
    <t>LUCRO LÍQUIDO</t>
  </si>
  <si>
    <t>(considerando 18% de impostos descontados do</t>
  </si>
  <si>
    <t>preço de venda e comissões)</t>
  </si>
  <si>
    <t>BOTÃO DE EMERGÊNCIA - XB5AS542 - TELEMEC.</t>
  </si>
  <si>
    <t xml:space="preserve">DISJ. COMANDO - K32A 6A BIPOLAR - MERLIN GERIN </t>
  </si>
  <si>
    <t>TRAFO DO COMANDO - 440V/24VCC/20W - ENTRAN</t>
  </si>
  <si>
    <t>INTERRUPTOR A PEDAL - FS-01 C/P - ISOTRON</t>
  </si>
  <si>
    <t xml:space="preserve">FIM DE CURSO - MG-2603 - MAR-GIRIUS </t>
  </si>
  <si>
    <t>CONTATOR - LP1-K0601 BD - TELEMECANIQUE</t>
  </si>
  <si>
    <t>CONT. AUXILIAR - CA3-KN22 BD - TELEMECANIQUE</t>
  </si>
  <si>
    <t>BOTÃO DE PULSO PRETO - XB5AA21 - TELEMEC.</t>
  </si>
  <si>
    <t>BOTÃO DE PULSO VERDE - XB5AA31 - TELEMEC.</t>
  </si>
  <si>
    <t>DISJ. MOTOR - GV2-ME14 - TELEMECANIQUE</t>
  </si>
  <si>
    <t>CONTATOR - LP1-K0901 BD - TELEMECANIQUE</t>
  </si>
  <si>
    <t>FIM DE CURSO - XCKP2118G11 - TELEMECANIQUE</t>
  </si>
  <si>
    <t>LARGURA:</t>
  </si>
  <si>
    <t>COMPRIMENTO:</t>
  </si>
  <si>
    <t>ALTURA FECHADA:</t>
  </si>
  <si>
    <t>ALTURA ABERTA:</t>
  </si>
  <si>
    <t>CANTONEIRAS LATERAIS BASE SUPERIOR</t>
  </si>
  <si>
    <t>CANTONEIRAS FRONTAIS BASE SUPERIOR</t>
  </si>
  <si>
    <t>CANTONEIRAS LATERAIS BASE INFERIOR</t>
  </si>
  <si>
    <t>CANTONEIRAS FRONTAIS BASE INFERIOR</t>
  </si>
  <si>
    <t>kg/m</t>
  </si>
  <si>
    <t>material</t>
  </si>
  <si>
    <t>R$/kg</t>
  </si>
  <si>
    <t>CHAPA SUPERIOR</t>
  </si>
  <si>
    <t>TUBO CENTRAL</t>
  </si>
  <si>
    <t>NÚMERO DE CILINDROS:</t>
  </si>
  <si>
    <t>CHAPAS DE FIXAÇÃO DO EIXO CENTRAL</t>
  </si>
  <si>
    <t>ARTICULAÇÃO CENTRAL</t>
  </si>
  <si>
    <t>CENTROS DE ARTICULAÇÃO:</t>
  </si>
  <si>
    <t>CHAPA TESOURA DO CAVALETE</t>
  </si>
  <si>
    <t>BUCHA DA RODA</t>
  </si>
  <si>
    <t>BUCHA DE ARTICULAÇÃO 1</t>
  </si>
  <si>
    <t>BUCHA DE ARTICULAÇÃO 2</t>
  </si>
  <si>
    <t>BUCHA DO CILINDRO 1</t>
  </si>
  <si>
    <t>BUCHA DO CILINDRO 2</t>
  </si>
  <si>
    <t>ORELHA DO CAVALETE</t>
  </si>
  <si>
    <t>CENTRO ARTICULAÇÃO HASTE:</t>
  </si>
  <si>
    <t>CANTONEIRA DE LIGAÇÃO</t>
  </si>
  <si>
    <t>BUCHA DA RODA 1</t>
  </si>
  <si>
    <t>BUCHA DA RODA 2</t>
  </si>
  <si>
    <t>DISCO CENTRAL</t>
  </si>
  <si>
    <t>ORELHAS</t>
  </si>
  <si>
    <t>REFORÇOS DA CANTONEIRA DAS ARTICULAÇÕES</t>
  </si>
  <si>
    <t>REFORÇO INFERIOR DA BASE</t>
  </si>
  <si>
    <t>OLHAL DE IÇAMENTO</t>
  </si>
  <si>
    <t>METALON DE APOIO INFERIOR</t>
  </si>
  <si>
    <t>METALON 40 x 40</t>
  </si>
  <si>
    <t>FIXAÇÃO DOS PARAFUSOS DE APOIO</t>
  </si>
  <si>
    <t>CANTONEIRA LIGAÇÃO DAS TESOURAS</t>
  </si>
  <si>
    <t>FIXAÇÃO DA CANTONEIRA DE LIGAÇÃO</t>
  </si>
  <si>
    <t>ENTRE CENTROS CILINDRO ABERTO:</t>
  </si>
  <si>
    <t>REDONDO 1"</t>
  </si>
  <si>
    <t>RODAS</t>
  </si>
  <si>
    <t>BUCHAS DE NYLON</t>
  </si>
  <si>
    <t>CINTAS GUIA - GR2C03750</t>
  </si>
  <si>
    <t>BUCHA AUTOLUBRIFICANTE - GSM3539-25</t>
  </si>
  <si>
    <t>BUCHA AUTOLUBRIFICANTE - GSM3539-30</t>
  </si>
  <si>
    <t>BUCHA AUTOLUBRIFICANTE - GSM3539-40</t>
  </si>
  <si>
    <t>BUCHA AUTOLUBRIFICANTE - GSM4550-30</t>
  </si>
  <si>
    <t>BUCHA AUTOLUBRIFICANTE - GSM7075-60</t>
  </si>
  <si>
    <t>TRAVA ARTICULAÇÃO CENTRAL</t>
  </si>
  <si>
    <t>PINO DAS RODAS SUPERIORES</t>
  </si>
  <si>
    <t>SEXTAVADO 1 3/4"</t>
  </si>
  <si>
    <t>PINO DAS RODAS INFERIORES</t>
  </si>
  <si>
    <t>PINO DAS HASTES</t>
  </si>
  <si>
    <t>REDONDO 1 3/4"</t>
  </si>
  <si>
    <t>PINO DA BASE SUPERIOR</t>
  </si>
  <si>
    <t>PINO DA BASE INFERIOR</t>
  </si>
  <si>
    <t>PINO DO CILINDRO</t>
  </si>
  <si>
    <t>TUBO BARRA DE SEGURANÇA - COMPRIMENTO</t>
  </si>
  <si>
    <t>METALON 20 x 30</t>
  </si>
  <si>
    <t>TUBO BARRA DE SEGURANÇA - LARGURA</t>
  </si>
  <si>
    <t>SEXTAVADO M10 x 30 - TRAVA DAS TESOURAS</t>
  </si>
  <si>
    <t>ARRUELA PRESSÃO M10 - TRAVA DAS TESOURAS</t>
  </si>
  <si>
    <t>ARRUELA PRESSÃO M30 - RODAS</t>
  </si>
  <si>
    <t>PORCA SEXTAVAVA M30 - RODAS</t>
  </si>
  <si>
    <t>ALLEN M10 x 30 - TRAVA ARTICULAÇÃO CENTRAL</t>
  </si>
  <si>
    <t>SEXTAVADO M12 x 40 - OLHAL DE IÇAMENTO</t>
  </si>
  <si>
    <t>ARRUELA PRESSÃO M12 - OLHAL DE IÇAMENTO</t>
  </si>
  <si>
    <t>PORCA SEXTAVAVA M12 - OLHAL DE IÇAMENTO</t>
  </si>
  <si>
    <t>ARRUELA PRESSÃO M12 - CILINDRO</t>
  </si>
  <si>
    <t>ALLEN M12 x 70 - CILINDRO</t>
  </si>
  <si>
    <t>PORCA SEXTAVAVA M20 - APOIO INFERIOR</t>
  </si>
  <si>
    <t>SEXTAVADO M20 x 80 - APOIO INFERIOR</t>
  </si>
  <si>
    <t>GAXETA - 639403740472-B</t>
  </si>
  <si>
    <t>RASPADOR - D 3750</t>
  </si>
  <si>
    <t>ANEL O'RING - 2248</t>
  </si>
  <si>
    <t>DISJ. MOTOR - GV2-ME20 - TELEMECANIQUE</t>
  </si>
  <si>
    <t>CONTATOR - LC1-D18 BD - TELEMECANIQUE</t>
  </si>
  <si>
    <t>quant.</t>
  </si>
  <si>
    <t>peso unit.</t>
  </si>
  <si>
    <t>preço unit.</t>
  </si>
  <si>
    <t>ROLAMENTOS - 6007</t>
  </si>
  <si>
    <t>DISJUNTOR - GV3-L40 - TELEMECANIQUE</t>
  </si>
  <si>
    <t>CONTATOR - LC1-D25 BD - TELEMECANIQUE</t>
  </si>
  <si>
    <t>ACESSÓRIOS</t>
  </si>
  <si>
    <t>SECCIONADORA</t>
  </si>
  <si>
    <t>PROTEÇÃO SANFONADA</t>
  </si>
  <si>
    <t>ROLAMENTOS - KIT</t>
  </si>
  <si>
    <t>SCH - MEC</t>
  </si>
  <si>
    <t>IND</t>
  </si>
  <si>
    <t>MET</t>
  </si>
  <si>
    <t>TREF RET</t>
  </si>
  <si>
    <t>CH</t>
  </si>
  <si>
    <t>LAM VIG</t>
  </si>
  <si>
    <t>MARGEM</t>
  </si>
  <si>
    <t>LUCRO COM ROLO</t>
  </si>
  <si>
    <t>REDONDO 3 1/2"</t>
  </si>
  <si>
    <t>SCHEDULE 80 x 3 1/2"</t>
  </si>
  <si>
    <t>TOTAL DOS ROLOS</t>
  </si>
  <si>
    <t>PREÇO UNITÁRIO COM ROLOS</t>
  </si>
  <si>
    <t>a partir de 17.03.15</t>
  </si>
  <si>
    <t>PREÇO H/H</t>
  </si>
  <si>
    <t>TABELA PARA FORMAÇÃO DE PREÇO DE VENDA MESAS ELEVATÓRIAS</t>
  </si>
  <si>
    <t>PRAZO DE PAGAMENTO</t>
  </si>
  <si>
    <t>30 DIAS</t>
  </si>
  <si>
    <t>60 DIAS</t>
  </si>
  <si>
    <t>IMPOSTOS</t>
  </si>
  <si>
    <t>COMISSÃO</t>
  </si>
  <si>
    <t>M. LUCRO</t>
  </si>
  <si>
    <t>FRETE</t>
  </si>
  <si>
    <t>DIVISOR</t>
  </si>
  <si>
    <t>CUSTO DO PRODUTO</t>
  </si>
  <si>
    <t>PREÇO DE VENDA</t>
  </si>
  <si>
    <t>MARGEM DE NEGOCIAÇÃO</t>
  </si>
  <si>
    <t>Impostos: Se o ICMS for 12%, o total dos impostos é de 18%.</t>
  </si>
  <si>
    <t>Se o ICMS for de 18%, o total dos impostos é 24%.</t>
  </si>
  <si>
    <t>aumento de 12%</t>
  </si>
  <si>
    <t>aumento de 8%</t>
  </si>
  <si>
    <t>MANGUEIRAS E CONEXÕES</t>
  </si>
  <si>
    <t>HASTE</t>
  </si>
  <si>
    <t>TAMPA</t>
  </si>
  <si>
    <t>BUCHA INTERNA</t>
  </si>
  <si>
    <t>FIXAÇÃO TAMPA</t>
  </si>
  <si>
    <t>CONEXÃO CILINDRO</t>
  </si>
  <si>
    <t>CAMISA</t>
  </si>
  <si>
    <t>TAMPA INFERIOR</t>
  </si>
  <si>
    <t>ORELHA</t>
  </si>
  <si>
    <t>BUCHA DE ARTICULAÇÃO</t>
  </si>
  <si>
    <t>UNIDADE HIDRÁULICA ESPECIAL</t>
  </si>
  <si>
    <t>CV</t>
  </si>
  <si>
    <t>MANG. E CON.</t>
  </si>
  <si>
    <t>CUSTO</t>
  </si>
  <si>
    <t>90 DIAS</t>
  </si>
  <si>
    <t>ART</t>
  </si>
  <si>
    <t xml:space="preserve"> ESP 20cv</t>
  </si>
  <si>
    <t>cada</t>
  </si>
  <si>
    <t>VALOR MP</t>
  </si>
  <si>
    <t>PORC. MO</t>
  </si>
  <si>
    <t>TOTAL HORAS</t>
  </si>
  <si>
    <t>Ø</t>
  </si>
  <si>
    <t>pol</t>
  </si>
  <si>
    <t>Ø in pol</t>
  </si>
  <si>
    <t>r</t>
  </si>
  <si>
    <t>peso</t>
  </si>
  <si>
    <t>CHAPA 3/4"</t>
  </si>
  <si>
    <t>CHAPA 5/8"</t>
  </si>
  <si>
    <t>aumento de 10%</t>
  </si>
  <si>
    <t>FONTE CHAVEADA - WEG</t>
  </si>
  <si>
    <t>SENSOR INDUTIVO - M18</t>
  </si>
  <si>
    <t>DISJ. MOTOR - GV2-ME08 - TELEMECANIQUE/WEG</t>
  </si>
  <si>
    <t>RELÉ -  WEG</t>
  </si>
  <si>
    <t>CAIXA 60X50X20</t>
  </si>
  <si>
    <t>CANT. 2.1/2" x 1/4"</t>
  </si>
  <si>
    <t>REDONDO 2"</t>
  </si>
  <si>
    <t>CANT. 3" x 3/8"</t>
  </si>
  <si>
    <t>PREÇOS DIA 14/04/2022</t>
  </si>
  <si>
    <t>aumento de 20%</t>
  </si>
  <si>
    <t xml:space="preserve">DESP. FIN - recebimento </t>
  </si>
  <si>
    <t xml:space="preserve">DESP. FIN - produção </t>
  </si>
  <si>
    <t>Robson</t>
  </si>
  <si>
    <t>CS1200CG300</t>
  </si>
  <si>
    <t>FECHADURA MAGNÉTICA</t>
  </si>
  <si>
    <t>CLP</t>
  </si>
  <si>
    <t>MESA ELEV. HIDRAULICA - 0,50 TON</t>
  </si>
  <si>
    <t>CHAPA 1/8"</t>
  </si>
  <si>
    <t>TCH 80 X 70</t>
  </si>
  <si>
    <t>395-26</t>
  </si>
  <si>
    <t>ESTRUTURA ROLETES</t>
  </si>
  <si>
    <t>ROLETES TRACIONADOS</t>
  </si>
  <si>
    <t>MOTORREDUTOR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</si>
</sst>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([$R$ -416]* #,##0.00_);_([$R$ -416]* \(#,##0.00\);_([$R$ -416]* &quot;-&quot;??_);_(@_)"/>
    <numFmt numFmtId="167" formatCode="&quot;R$ &quot;#,##0.00"/>
    <numFmt numFmtId="168" formatCode="0.0000"/>
    <numFmt numFmtId="169" formatCode="0.0"/>
    <numFmt numFmtId="170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sz val="10"/>
      <name val="Century Gothic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D4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1" xfId="0" applyFont="1" applyBorder="1"/>
    <xf numFmtId="166" fontId="1" fillId="0" borderId="1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166" fontId="2" fillId="3" borderId="1" xfId="0" applyNumberFormat="1" applyFont="1" applyFill="1" applyBorder="1"/>
    <xf numFmtId="0" fontId="0" fillId="3" borderId="2" xfId="0" applyFill="1" applyBorder="1"/>
    <xf numFmtId="9" fontId="3" fillId="3" borderId="3" xfId="0" applyNumberFormat="1" applyFont="1" applyFill="1" applyBorder="1"/>
    <xf numFmtId="166" fontId="1" fillId="0" borderId="4" xfId="0" applyNumberFormat="1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9" fontId="1" fillId="2" borderId="1" xfId="2" applyFont="1" applyFill="1" applyBorder="1"/>
    <xf numFmtId="166" fontId="1" fillId="2" borderId="1" xfId="0" applyNumberFormat="1" applyFont="1" applyFill="1" applyBorder="1"/>
    <xf numFmtId="166" fontId="1" fillId="3" borderId="1" xfId="0" applyNumberFormat="1" applyFont="1" applyFill="1" applyBorder="1"/>
    <xf numFmtId="166" fontId="1" fillId="3" borderId="5" xfId="0" applyNumberFormat="1" applyFont="1" applyFill="1" applyBorder="1"/>
    <xf numFmtId="1" fontId="3" fillId="3" borderId="2" xfId="2" applyNumberFormat="1" applyFont="1" applyFill="1" applyBorder="1"/>
    <xf numFmtId="49" fontId="3" fillId="3" borderId="3" xfId="2" applyNumberFormat="1" applyFont="1" applyFill="1" applyBorder="1"/>
    <xf numFmtId="0" fontId="7" fillId="0" borderId="0" xfId="0" applyFont="1"/>
    <xf numFmtId="0" fontId="7" fillId="0" borderId="0" xfId="0" applyFont="1" applyAlignment="1">
      <alignment horizontal="right"/>
    </xf>
    <xf numFmtId="167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Fill="1" applyBorder="1" applyAlignment="1">
      <alignment horizontal="center"/>
    </xf>
    <xf numFmtId="2" fontId="7" fillId="0" borderId="1" xfId="0" applyNumberFormat="1" applyFont="1" applyBorder="1"/>
    <xf numFmtId="164" fontId="7" fillId="0" borderId="1" xfId="0" applyNumberFormat="1" applyFont="1" applyBorder="1"/>
    <xf numFmtId="164" fontId="7" fillId="0" borderId="1" xfId="1" applyFont="1" applyBorder="1"/>
    <xf numFmtId="2" fontId="7" fillId="0" borderId="0" xfId="0" applyNumberFormat="1" applyFont="1"/>
    <xf numFmtId="164" fontId="8" fillId="0" borderId="0" xfId="0" applyNumberFormat="1" applyFont="1"/>
    <xf numFmtId="2" fontId="7" fillId="0" borderId="1" xfId="0" applyNumberFormat="1" applyFont="1" applyFill="1" applyBorder="1" applyAlignment="1">
      <alignment horizontal="left"/>
    </xf>
    <xf numFmtId="0" fontId="9" fillId="0" borderId="0" xfId="0" applyFont="1"/>
    <xf numFmtId="0" fontId="9" fillId="0" borderId="1" xfId="0" applyFont="1" applyBorder="1"/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/>
    <xf numFmtId="164" fontId="7" fillId="4" borderId="1" xfId="0" applyNumberFormat="1" applyFont="1" applyFill="1" applyBorder="1"/>
    <xf numFmtId="164" fontId="7" fillId="0" borderId="0" xfId="1" applyFont="1"/>
    <xf numFmtId="167" fontId="7" fillId="5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1" fillId="0" borderId="0" xfId="0" applyFont="1" applyFill="1" applyBorder="1"/>
    <xf numFmtId="0" fontId="0" fillId="2" borderId="3" xfId="0" applyFill="1" applyBorder="1"/>
    <xf numFmtId="0" fontId="0" fillId="0" borderId="0" xfId="0" applyBorder="1"/>
    <xf numFmtId="9" fontId="10" fillId="0" borderId="0" xfId="0" applyNumberFormat="1" applyFont="1" applyFill="1" applyBorder="1"/>
    <xf numFmtId="164" fontId="6" fillId="6" borderId="0" xfId="1" applyFont="1" applyFill="1"/>
    <xf numFmtId="0" fontId="7" fillId="0" borderId="0" xfId="0" applyFont="1" applyFill="1" applyBorder="1"/>
    <xf numFmtId="0" fontId="9" fillId="4" borderId="1" xfId="0" applyFont="1" applyFill="1" applyBorder="1"/>
    <xf numFmtId="2" fontId="7" fillId="4" borderId="1" xfId="0" applyNumberFormat="1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169" fontId="7" fillId="0" borderId="0" xfId="0" applyNumberFormat="1" applyFont="1" applyFill="1" applyBorder="1"/>
    <xf numFmtId="167" fontId="7" fillId="0" borderId="0" xfId="0" applyNumberFormat="1" applyFont="1" applyFill="1" applyBorder="1"/>
    <xf numFmtId="167" fontId="1" fillId="2" borderId="6" xfId="0" applyNumberFormat="1" applyFont="1" applyFill="1" applyBorder="1"/>
    <xf numFmtId="169" fontId="1" fillId="2" borderId="2" xfId="0" applyNumberFormat="1" applyFont="1" applyFill="1" applyBorder="1"/>
    <xf numFmtId="0" fontId="0" fillId="0" borderId="0" xfId="0" applyFill="1"/>
    <xf numFmtId="168" fontId="0" fillId="0" borderId="0" xfId="0" applyNumberFormat="1" applyFill="1"/>
    <xf numFmtId="44" fontId="0" fillId="0" borderId="0" xfId="0" applyNumberFormat="1" applyFill="1"/>
    <xf numFmtId="44" fontId="0" fillId="0" borderId="0" xfId="0" applyNumberFormat="1"/>
    <xf numFmtId="170" fontId="1" fillId="2" borderId="1" xfId="2" applyNumberFormat="1" applyFont="1" applyFill="1" applyBorder="1"/>
    <xf numFmtId="164" fontId="6" fillId="0" borderId="0" xfId="1" applyFont="1"/>
    <xf numFmtId="0" fontId="0" fillId="0" borderId="5" xfId="0" applyBorder="1"/>
    <xf numFmtId="14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0" xfId="0" applyFont="1" applyFill="1"/>
    <xf numFmtId="8" fontId="0" fillId="0" borderId="0" xfId="0" applyNumberFormat="1"/>
    <xf numFmtId="0" fontId="9" fillId="7" borderId="1" xfId="0" applyFont="1" applyFill="1" applyBorder="1"/>
    <xf numFmtId="2" fontId="7" fillId="7" borderId="1" xfId="0" applyNumberFormat="1" applyFont="1" applyFill="1" applyBorder="1"/>
    <xf numFmtId="164" fontId="7" fillId="7" borderId="1" xfId="0" applyNumberFormat="1" applyFont="1" applyFill="1" applyBorder="1"/>
    <xf numFmtId="0" fontId="9" fillId="8" borderId="1" xfId="0" applyFont="1" applyFill="1" applyBorder="1"/>
    <xf numFmtId="2" fontId="7" fillId="8" borderId="1" xfId="0" applyNumberFormat="1" applyFont="1" applyFill="1" applyBorder="1"/>
    <xf numFmtId="164" fontId="7" fillId="8" borderId="1" xfId="0" applyNumberFormat="1" applyFont="1" applyFill="1" applyBorder="1"/>
    <xf numFmtId="0" fontId="0" fillId="0" borderId="0" xfId="0" applyAlignment="1"/>
    <xf numFmtId="9" fontId="0" fillId="0" borderId="0" xfId="0" applyNumberFormat="1"/>
    <xf numFmtId="168" fontId="0" fillId="0" borderId="7" xfId="0" applyNumberFormat="1" applyFont="1" applyBorder="1" applyAlignment="1">
      <alignment horizontal="center"/>
    </xf>
    <xf numFmtId="168" fontId="0" fillId="9" borderId="8" xfId="0" applyNumberFormat="1" applyFont="1" applyFill="1" applyBorder="1" applyAlignment="1">
      <alignment horizontal="center"/>
    </xf>
    <xf numFmtId="0" fontId="0" fillId="8" borderId="0" xfId="0" applyFont="1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7" fillId="0" borderId="0" xfId="1" applyNumberFormat="1" applyFont="1" applyFill="1" applyBorder="1"/>
    <xf numFmtId="164" fontId="6" fillId="8" borderId="0" xfId="1" applyFont="1" applyFill="1" applyBorder="1" applyAlignment="1">
      <alignment horizontal="center"/>
    </xf>
    <xf numFmtId="43" fontId="0" fillId="0" borderId="0" xfId="0" applyNumberFormat="1"/>
    <xf numFmtId="0" fontId="7" fillId="10" borderId="15" xfId="0" applyFont="1" applyFill="1" applyBorder="1"/>
    <xf numFmtId="164" fontId="7" fillId="11" borderId="15" xfId="1" applyFont="1" applyFill="1" applyBorder="1"/>
    <xf numFmtId="0" fontId="7" fillId="10" borderId="16" xfId="0" applyFont="1" applyFill="1" applyBorder="1"/>
    <xf numFmtId="164" fontId="7" fillId="11" borderId="16" xfId="1" applyFont="1" applyFill="1" applyBorder="1"/>
    <xf numFmtId="0" fontId="7" fillId="10" borderId="17" xfId="0" applyFont="1" applyFill="1" applyBorder="1"/>
    <xf numFmtId="164" fontId="7" fillId="11" borderId="17" xfId="1" applyFont="1" applyFill="1" applyBorder="1"/>
    <xf numFmtId="2" fontId="7" fillId="0" borderId="0" xfId="0" applyNumberFormat="1" applyFont="1" applyFill="1"/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/>
    <xf numFmtId="164" fontId="7" fillId="11" borderId="1" xfId="1" applyFont="1" applyFill="1" applyBorder="1"/>
    <xf numFmtId="0" fontId="5" fillId="11" borderId="1" xfId="0" applyFont="1" applyFill="1" applyBorder="1" applyAlignment="1">
      <alignment horizontal="center"/>
    </xf>
    <xf numFmtId="164" fontId="5" fillId="11" borderId="1" xfId="1" applyFont="1" applyFill="1" applyBorder="1"/>
    <xf numFmtId="164" fontId="7" fillId="4" borderId="2" xfId="0" applyNumberFormat="1" applyFont="1" applyFill="1" applyBorder="1"/>
    <xf numFmtId="0" fontId="11" fillId="0" borderId="2" xfId="0" applyFont="1" applyFill="1" applyBorder="1" applyAlignment="1">
      <alignment horizontal="right"/>
    </xf>
    <xf numFmtId="0" fontId="11" fillId="0" borderId="3" xfId="0" applyFont="1" applyFill="1" applyBorder="1"/>
    <xf numFmtId="0" fontId="7" fillId="4" borderId="1" xfId="0" applyFont="1" applyFill="1" applyBorder="1" applyAlignment="1">
      <alignment horizontal="center"/>
    </xf>
    <xf numFmtId="164" fontId="7" fillId="4" borderId="1" xfId="1" applyFont="1" applyFill="1" applyBorder="1"/>
    <xf numFmtId="0" fontId="7" fillId="4" borderId="0" xfId="0" applyFont="1" applyFill="1"/>
    <xf numFmtId="0" fontId="0" fillId="9" borderId="18" xfId="0" applyFont="1" applyFill="1" applyBorder="1"/>
    <xf numFmtId="0" fontId="0" fillId="9" borderId="0" xfId="0" applyFont="1" applyFill="1" applyBorder="1" applyAlignment="1">
      <alignment horizontal="center"/>
    </xf>
    <xf numFmtId="0" fontId="0" fillId="9" borderId="19" xfId="0" applyFont="1" applyFill="1" applyBorder="1" applyAlignment="1">
      <alignment horizontal="center"/>
    </xf>
    <xf numFmtId="0" fontId="0" fillId="0" borderId="18" xfId="0" applyFont="1" applyBorder="1"/>
    <xf numFmtId="168" fontId="0" fillId="4" borderId="0" xfId="0" applyNumberFormat="1" applyFont="1" applyFill="1" applyBorder="1" applyAlignment="1">
      <alignment horizontal="center"/>
    </xf>
    <xf numFmtId="168" fontId="0" fillId="4" borderId="19" xfId="0" applyNumberFormat="1" applyFont="1" applyFill="1" applyBorder="1" applyAlignment="1">
      <alignment horizontal="center"/>
    </xf>
    <xf numFmtId="168" fontId="0" fillId="0" borderId="0" xfId="0" applyNumberFormat="1" applyFont="1" applyBorder="1" applyAlignment="1">
      <alignment horizontal="center"/>
    </xf>
    <xf numFmtId="168" fontId="0" fillId="0" borderId="19" xfId="0" applyNumberFormat="1" applyFont="1" applyBorder="1" applyAlignment="1">
      <alignment horizontal="center"/>
    </xf>
    <xf numFmtId="0" fontId="0" fillId="0" borderId="20" xfId="0" applyFont="1" applyBorder="1"/>
    <xf numFmtId="168" fontId="0" fillId="0" borderId="21" xfId="0" applyNumberFormat="1" applyFont="1" applyBorder="1" applyAlignment="1">
      <alignment horizontal="center"/>
    </xf>
    <xf numFmtId="0" fontId="0" fillId="9" borderId="22" xfId="0" applyFont="1" applyFill="1" applyBorder="1"/>
    <xf numFmtId="168" fontId="0" fillId="9" borderId="23" xfId="0" applyNumberFormat="1" applyFont="1" applyFill="1" applyBorder="1" applyAlignment="1">
      <alignment horizontal="center"/>
    </xf>
    <xf numFmtId="0" fontId="0" fillId="8" borderId="18" xfId="0" applyFont="1" applyFill="1" applyBorder="1"/>
    <xf numFmtId="0" fontId="0" fillId="8" borderId="19" xfId="0" applyFont="1" applyFill="1" applyBorder="1" applyAlignment="1">
      <alignment horizontal="center"/>
    </xf>
    <xf numFmtId="164" fontId="6" fillId="8" borderId="19" xfId="1" applyFont="1" applyFill="1" applyBorder="1" applyAlignment="1">
      <alignment horizontal="center"/>
    </xf>
    <xf numFmtId="165" fontId="6" fillId="0" borderId="0" xfId="3" applyFont="1"/>
    <xf numFmtId="164" fontId="6" fillId="0" borderId="0" xfId="1" applyFont="1" applyBorder="1"/>
    <xf numFmtId="164" fontId="6" fillId="0" borderId="19" xfId="1" applyFont="1" applyBorder="1"/>
    <xf numFmtId="0" fontId="0" fillId="0" borderId="0" xfId="0" applyFont="1" applyBorder="1"/>
    <xf numFmtId="0" fontId="0" fillId="0" borderId="19" xfId="0" applyFont="1" applyBorder="1"/>
    <xf numFmtId="164" fontId="0" fillId="0" borderId="0" xfId="0" applyNumberFormat="1"/>
    <xf numFmtId="0" fontId="7" fillId="4" borderId="24" xfId="0" applyFont="1" applyFill="1" applyBorder="1"/>
    <xf numFmtId="0" fontId="7" fillId="10" borderId="24" xfId="0" applyFont="1" applyFill="1" applyBorder="1"/>
    <xf numFmtId="0" fontId="7" fillId="11" borderId="24" xfId="0" applyFont="1" applyFill="1" applyBorder="1"/>
    <xf numFmtId="0" fontId="7" fillId="12" borderId="11" xfId="0" applyFont="1" applyFill="1" applyBorder="1"/>
    <xf numFmtId="164" fontId="7" fillId="4" borderId="15" xfId="1" applyFont="1" applyFill="1" applyBorder="1"/>
    <xf numFmtId="164" fontId="7" fillId="12" borderId="25" xfId="1" applyFont="1" applyFill="1" applyBorder="1"/>
    <xf numFmtId="164" fontId="7" fillId="4" borderId="16" xfId="1" applyFont="1" applyFill="1" applyBorder="1"/>
    <xf numFmtId="164" fontId="7" fillId="12" borderId="26" xfId="1" applyFont="1" applyFill="1" applyBorder="1"/>
    <xf numFmtId="164" fontId="7" fillId="4" borderId="17" xfId="1" applyFont="1" applyFill="1" applyBorder="1"/>
    <xf numFmtId="164" fontId="7" fillId="12" borderId="27" xfId="1" applyFont="1" applyFill="1" applyBorder="1"/>
    <xf numFmtId="2" fontId="7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0" xfId="0" applyNumberFormat="1" applyFont="1" applyFill="1"/>
    <xf numFmtId="0" fontId="9" fillId="11" borderId="1" xfId="0" applyFont="1" applyFill="1" applyBorder="1"/>
    <xf numFmtId="164" fontId="8" fillId="0" borderId="0" xfId="1" applyFont="1"/>
    <xf numFmtId="43" fontId="7" fillId="0" borderId="0" xfId="0" applyNumberFormat="1" applyFont="1"/>
    <xf numFmtId="43" fontId="7" fillId="13" borderId="0" xfId="0" applyNumberFormat="1" applyFont="1" applyFill="1"/>
    <xf numFmtId="0" fontId="7" fillId="13" borderId="0" xfId="0" applyFont="1" applyFill="1"/>
    <xf numFmtId="164" fontId="7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1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6" fillId="0" borderId="0" xfId="1" applyFont="1"/>
    <xf numFmtId="165" fontId="7" fillId="0" borderId="0" xfId="3" applyFont="1" applyAlignment="1">
      <alignment horizontal="center"/>
    </xf>
    <xf numFmtId="0" fontId="7" fillId="14" borderId="28" xfId="0" applyFont="1" applyFill="1" applyBorder="1"/>
    <xf numFmtId="0" fontId="7" fillId="15" borderId="28" xfId="0" applyFont="1" applyFill="1" applyBorder="1"/>
    <xf numFmtId="0" fontId="7" fillId="16" borderId="29" xfId="0" applyFont="1" applyFill="1" applyBorder="1"/>
    <xf numFmtId="0" fontId="7" fillId="17" borderId="6" xfId="0" applyFont="1" applyFill="1" applyBorder="1" applyAlignment="1">
      <alignment horizontal="left"/>
    </xf>
    <xf numFmtId="164" fontId="7" fillId="13" borderId="6" xfId="1" applyFont="1" applyFill="1" applyBorder="1"/>
    <xf numFmtId="164" fontId="7" fillId="14" borderId="30" xfId="1" applyFont="1" applyFill="1" applyBorder="1"/>
    <xf numFmtId="164" fontId="7" fillId="15" borderId="30" xfId="1" applyFont="1" applyFill="1" applyBorder="1"/>
    <xf numFmtId="164" fontId="7" fillId="16" borderId="25" xfId="1" applyFont="1" applyFill="1" applyBorder="1"/>
    <xf numFmtId="164" fontId="7" fillId="17" borderId="21" xfId="1" applyFont="1" applyFill="1" applyBorder="1"/>
    <xf numFmtId="164" fontId="7" fillId="13" borderId="31" xfId="1" applyFont="1" applyFill="1" applyBorder="1"/>
    <xf numFmtId="164" fontId="7" fillId="16" borderId="26" xfId="1" applyFont="1" applyFill="1" applyBorder="1"/>
    <xf numFmtId="164" fontId="7" fillId="17" borderId="26" xfId="1" applyFont="1" applyFill="1" applyBorder="1"/>
    <xf numFmtId="164" fontId="7" fillId="13" borderId="16" xfId="1" applyFont="1" applyFill="1" applyBorder="1"/>
    <xf numFmtId="164" fontId="7" fillId="14" borderId="32" xfId="1" applyFont="1" applyFill="1" applyBorder="1"/>
    <xf numFmtId="164" fontId="7" fillId="15" borderId="32" xfId="1" applyFont="1" applyFill="1" applyBorder="1"/>
    <xf numFmtId="164" fontId="7" fillId="16" borderId="27" xfId="1" applyFont="1" applyFill="1" applyBorder="1"/>
    <xf numFmtId="164" fontId="7" fillId="17" borderId="27" xfId="1" applyFont="1" applyFill="1" applyBorder="1"/>
    <xf numFmtId="164" fontId="7" fillId="13" borderId="17" xfId="1" applyFont="1" applyFill="1" applyBorder="1"/>
    <xf numFmtId="0" fontId="7" fillId="18" borderId="28" xfId="0" applyFont="1" applyFill="1" applyBorder="1"/>
    <xf numFmtId="164" fontId="7" fillId="18" borderId="30" xfId="1" applyFont="1" applyFill="1" applyBorder="1"/>
    <xf numFmtId="0" fontId="12" fillId="0" borderId="0" xfId="0" quotePrefix="1" applyFont="1" applyAlignment="1">
      <alignment horizontal="left"/>
    </xf>
    <xf numFmtId="0" fontId="7" fillId="0" borderId="0" xfId="0" quotePrefix="1" applyFont="1" applyAlignment="1">
      <alignment horizontal="right"/>
    </xf>
    <xf numFmtId="0" fontId="7" fillId="0" borderId="0" xfId="0" quotePrefix="1" applyFont="1" applyFill="1" applyAlignment="1">
      <alignment horizontal="right"/>
    </xf>
    <xf numFmtId="0" fontId="0" fillId="0" borderId="0" xfId="0" quotePrefix="1" applyAlignment="1">
      <alignment horizontal="right"/>
    </xf>
    <xf numFmtId="0" fontId="7" fillId="19" borderId="33" xfId="0" applyFont="1" applyFill="1" applyBorder="1" applyAlignment="1">
      <alignment horizontal="left"/>
    </xf>
    <xf numFmtId="0" fontId="7" fillId="19" borderId="34" xfId="0" applyFont="1" applyFill="1" applyBorder="1"/>
    <xf numFmtId="0" fontId="7" fillId="19" borderId="28" xfId="0" applyFont="1" applyFill="1" applyBorder="1"/>
    <xf numFmtId="0" fontId="7" fillId="19" borderId="35" xfId="0" applyFont="1" applyFill="1" applyBorder="1" applyAlignment="1">
      <alignment horizontal="center"/>
    </xf>
    <xf numFmtId="0" fontId="7" fillId="19" borderId="1" xfId="0" applyFont="1" applyFill="1" applyBorder="1"/>
    <xf numFmtId="164" fontId="7" fillId="19" borderId="30" xfId="1" applyFont="1" applyFill="1" applyBorder="1"/>
    <xf numFmtId="0" fontId="7" fillId="19" borderId="36" xfId="0" applyFont="1" applyFill="1" applyBorder="1" applyAlignment="1">
      <alignment horizontal="center"/>
    </xf>
    <xf numFmtId="0" fontId="7" fillId="19" borderId="37" xfId="0" applyFont="1" applyFill="1" applyBorder="1"/>
    <xf numFmtId="164" fontId="7" fillId="19" borderId="32" xfId="1" applyFont="1" applyFill="1" applyBorder="1"/>
    <xf numFmtId="164" fontId="7" fillId="18" borderId="32" xfId="1" applyFont="1" applyFill="1" applyBorder="1"/>
    <xf numFmtId="164" fontId="6" fillId="8" borderId="0" xfId="1" applyFont="1" applyFill="1" applyBorder="1"/>
    <xf numFmtId="168" fontId="0" fillId="8" borderId="0" xfId="0" applyNumberFormat="1" applyFont="1" applyFill="1" applyBorder="1" applyAlignment="1">
      <alignment horizontal="center"/>
    </xf>
    <xf numFmtId="164" fontId="6" fillId="4" borderId="0" xfId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65" fontId="7" fillId="0" borderId="0" xfId="3" applyFont="1" applyAlignment="1">
      <alignment horizontal="center"/>
    </xf>
    <xf numFmtId="0" fontId="0" fillId="20" borderId="38" xfId="0" applyFont="1" applyFill="1" applyBorder="1" applyAlignment="1">
      <alignment horizontal="center"/>
    </xf>
    <xf numFmtId="0" fontId="0" fillId="20" borderId="39" xfId="0" applyFont="1" applyFill="1" applyBorder="1" applyAlignment="1">
      <alignment horizontal="center"/>
    </xf>
    <xf numFmtId="0" fontId="0" fillId="20" borderId="25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2" fontId="7" fillId="4" borderId="1" xfId="0" applyNumberFormat="1" applyFont="1" applyFill="1" applyBorder="1" applyAlignment="1">
      <alignment horizontal="left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1E56-2108-4C1F-93BC-B8A0FC28DEC1}">
  <sheetPr codeName="Planilha1">
    <pageSetUpPr fitToPage="1"/>
  </sheetPr>
  <dimension ref="A1:V161"/>
  <sheetViews>
    <sheetView topLeftCell="A3" workbookViewId="0">
      <selection activeCell="L21" sqref="L21"/>
    </sheetView>
  </sheetViews>
  <sheetFormatPr defaultRowHeight="12.75" x14ac:dyDescent="0.2"/>
  <cols>
    <col min="1" max="1" width="39.5703125" style="31" customWidth="1"/>
    <col min="2" max="2" width="6.7109375" style="22" customWidth="1"/>
    <col min="3" max="3" width="11.42578125" style="19" bestFit="1" customWidth="1"/>
    <col min="4" max="4" width="9.85546875" style="19" customWidth="1"/>
    <col min="5" max="5" width="13.7109375" style="19" customWidth="1"/>
    <col min="6" max="6" width="14" style="19" customWidth="1"/>
    <col min="7" max="7" width="3.140625" style="19" customWidth="1"/>
    <col min="8" max="8" width="3.7109375" style="19" customWidth="1"/>
    <col min="9" max="9" width="11.42578125" style="19" bestFit="1" customWidth="1"/>
    <col min="10" max="10" width="8.5703125" style="22" customWidth="1"/>
    <col min="11" max="11" width="12.42578125" style="19" bestFit="1" customWidth="1"/>
    <col min="12" max="13" width="11.85546875" style="19" bestFit="1" customWidth="1"/>
    <col min="14" max="14" width="9.140625" style="19"/>
    <col min="15" max="15" width="9" style="19" customWidth="1"/>
    <col min="16" max="16384" width="9.140625" style="19"/>
  </cols>
  <sheetData>
    <row r="1" spans="1:22" x14ac:dyDescent="0.2">
      <c r="D1" s="19" t="s">
        <v>40</v>
      </c>
      <c r="E1" s="19" t="s">
        <v>39</v>
      </c>
      <c r="F1" s="19" t="s">
        <v>41</v>
      </c>
    </row>
    <row r="2" spans="1:22" ht="21" x14ac:dyDescent="0.35">
      <c r="A2" s="169" t="s">
        <v>193</v>
      </c>
      <c r="D2" s="170" t="s">
        <v>184</v>
      </c>
      <c r="E2" s="19">
        <v>10.72</v>
      </c>
      <c r="F2" s="37">
        <f>IF(G2=1,L$13,IF(G2=2,L$14,IF(G2=3,L$15,IF(G2=4,L$16,IF(G2=5,L$17,IF(G2=6,L$18))))))</f>
        <v>16.66</v>
      </c>
      <c r="G2" s="19">
        <v>5</v>
      </c>
    </row>
    <row r="3" spans="1:22" x14ac:dyDescent="0.2">
      <c r="D3" s="171" t="s">
        <v>194</v>
      </c>
      <c r="E3" s="91">
        <f>1000*1000*3*0.00785/1000</f>
        <v>23.549999999999997</v>
      </c>
      <c r="F3" s="37">
        <f t="shared" ref="F3:F21" si="0">IF(G3=1,L$13,IF(G3=2,L$14,IF(G3=3,L$15,IF(G3=4,L$16,IF(G3=5,L$17,IF(G3=6,L$18))))))</f>
        <v>16.66</v>
      </c>
      <c r="G3" s="19">
        <v>6</v>
      </c>
      <c r="H3" s="36"/>
      <c r="J3" s="22" t="s">
        <v>169</v>
      </c>
      <c r="K3" s="19" t="s">
        <v>170</v>
      </c>
      <c r="L3" s="19" t="s">
        <v>171</v>
      </c>
      <c r="M3" s="19" t="s">
        <v>172</v>
      </c>
    </row>
    <row r="4" spans="1:22" x14ac:dyDescent="0.2">
      <c r="D4" s="171" t="s">
        <v>195</v>
      </c>
      <c r="E4" s="63">
        <v>9.5</v>
      </c>
      <c r="F4" s="37">
        <f t="shared" si="0"/>
        <v>21.652576799293453</v>
      </c>
      <c r="G4" s="19">
        <v>1</v>
      </c>
      <c r="H4" s="36"/>
      <c r="J4" s="148">
        <v>3</v>
      </c>
      <c r="K4" s="19">
        <v>25.4</v>
      </c>
      <c r="L4" s="19">
        <f>K4*J4</f>
        <v>76.199999999999989</v>
      </c>
      <c r="M4" s="19">
        <f>L4/2</f>
        <v>38.099999999999994</v>
      </c>
    </row>
    <row r="5" spans="1:22" x14ac:dyDescent="0.2">
      <c r="A5" s="20" t="s">
        <v>31</v>
      </c>
      <c r="B5" s="22">
        <v>1200</v>
      </c>
      <c r="D5" s="171" t="s">
        <v>126</v>
      </c>
      <c r="E5" s="63">
        <v>48.73</v>
      </c>
      <c r="F5" s="37">
        <f t="shared" si="0"/>
        <v>17.310164419215369</v>
      </c>
      <c r="G5" s="19">
        <v>4</v>
      </c>
      <c r="H5" s="36"/>
      <c r="L5" s="19" t="s">
        <v>173</v>
      </c>
      <c r="M5" s="19">
        <f>(((3.1416*(M4*M4))*1000)*0.00785)/1000</f>
        <v>35.798967111599985</v>
      </c>
    </row>
    <row r="6" spans="1:22" x14ac:dyDescent="0.2">
      <c r="A6" s="20" t="s">
        <v>32</v>
      </c>
      <c r="B6" s="22">
        <v>1200</v>
      </c>
      <c r="D6" s="20" t="s">
        <v>126</v>
      </c>
      <c r="E6" s="19">
        <v>48.72</v>
      </c>
      <c r="F6" s="37">
        <f t="shared" si="0"/>
        <v>17.310164419215369</v>
      </c>
      <c r="G6" s="19">
        <v>4</v>
      </c>
    </row>
    <row r="7" spans="1:22" x14ac:dyDescent="0.2">
      <c r="A7" s="20" t="s">
        <v>33</v>
      </c>
      <c r="B7" s="22">
        <v>250</v>
      </c>
      <c r="D7" s="170" t="s">
        <v>174</v>
      </c>
      <c r="E7" s="19">
        <v>149.5</v>
      </c>
      <c r="F7" s="37">
        <f t="shared" si="0"/>
        <v>16.66</v>
      </c>
      <c r="G7" s="19">
        <v>6</v>
      </c>
      <c r="I7" s="44"/>
      <c r="J7" s="191"/>
      <c r="K7" s="191"/>
    </row>
    <row r="8" spans="1:22" x14ac:dyDescent="0.2">
      <c r="A8" s="20" t="s">
        <v>34</v>
      </c>
      <c r="B8" s="22">
        <v>800</v>
      </c>
      <c r="D8" s="20" t="s">
        <v>127</v>
      </c>
      <c r="E8" s="19">
        <v>18.62</v>
      </c>
      <c r="F8" s="37">
        <f t="shared" si="0"/>
        <v>17.310164419215369</v>
      </c>
      <c r="G8" s="19">
        <v>4</v>
      </c>
      <c r="I8" s="44"/>
    </row>
    <row r="9" spans="1:22" x14ac:dyDescent="0.2">
      <c r="A9" s="20" t="s">
        <v>44</v>
      </c>
      <c r="B9" s="22">
        <v>1</v>
      </c>
      <c r="D9" s="170" t="s">
        <v>174</v>
      </c>
      <c r="E9" s="19">
        <v>149.5</v>
      </c>
      <c r="F9" s="37">
        <f t="shared" si="0"/>
        <v>16.66</v>
      </c>
      <c r="G9" s="19">
        <v>6</v>
      </c>
      <c r="I9" s="44"/>
      <c r="J9" s="190"/>
    </row>
    <row r="10" spans="1:22" x14ac:dyDescent="0.2">
      <c r="A10" s="20" t="s">
        <v>47</v>
      </c>
      <c r="B10" s="22">
        <v>525</v>
      </c>
      <c r="D10" s="170" t="s">
        <v>182</v>
      </c>
      <c r="E10" s="19">
        <v>6.1</v>
      </c>
      <c r="F10" s="37">
        <f t="shared" si="0"/>
        <v>16.66</v>
      </c>
      <c r="G10" s="19">
        <v>5</v>
      </c>
    </row>
    <row r="11" spans="1:22" ht="13.5" thickBot="1" x14ac:dyDescent="0.25">
      <c r="A11" s="20" t="s">
        <v>55</v>
      </c>
      <c r="B11" s="22">
        <v>150</v>
      </c>
      <c r="D11" s="20" t="s">
        <v>126</v>
      </c>
      <c r="E11" s="19">
        <v>48.72</v>
      </c>
      <c r="F11" s="37">
        <f t="shared" si="0"/>
        <v>16.66</v>
      </c>
      <c r="G11" s="19">
        <v>5</v>
      </c>
    </row>
    <row r="12" spans="1:22" ht="13.5" thickBot="1" x14ac:dyDescent="0.25">
      <c r="A12" s="20" t="s">
        <v>69</v>
      </c>
      <c r="B12" s="22">
        <v>600</v>
      </c>
      <c r="D12" s="20" t="s">
        <v>175</v>
      </c>
      <c r="E12" s="19">
        <f>1000*1000*15.875*0.00785/1000</f>
        <v>124.61874999999999</v>
      </c>
      <c r="F12" s="37">
        <f t="shared" si="0"/>
        <v>16.66</v>
      </c>
      <c r="G12" s="19">
        <v>6</v>
      </c>
      <c r="J12" s="173" t="s">
        <v>185</v>
      </c>
      <c r="K12" s="174"/>
      <c r="L12" s="175"/>
      <c r="M12" s="167" t="s">
        <v>186</v>
      </c>
      <c r="N12" s="149" t="s">
        <v>176</v>
      </c>
      <c r="O12" s="150" t="s">
        <v>176</v>
      </c>
      <c r="P12" s="151" t="s">
        <v>176</v>
      </c>
      <c r="Q12" s="152" t="s">
        <v>147</v>
      </c>
      <c r="R12" s="153" t="s">
        <v>147</v>
      </c>
      <c r="S12" s="124" t="s">
        <v>146</v>
      </c>
      <c r="T12" s="125" t="s">
        <v>146</v>
      </c>
      <c r="U12" s="126" t="s">
        <v>146</v>
      </c>
      <c r="V12" s="127" t="s">
        <v>147</v>
      </c>
    </row>
    <row r="13" spans="1:22" x14ac:dyDescent="0.2">
      <c r="D13" s="20" t="s">
        <v>175</v>
      </c>
      <c r="E13" s="19">
        <f>1000*1000*15.785*0.00785/1000</f>
        <v>123.91224999999999</v>
      </c>
      <c r="F13" s="37">
        <f t="shared" si="0"/>
        <v>16.66</v>
      </c>
      <c r="G13" s="19">
        <v>6</v>
      </c>
      <c r="J13" s="176">
        <v>1</v>
      </c>
      <c r="K13" s="177" t="s">
        <v>118</v>
      </c>
      <c r="L13" s="178">
        <f>M13*1.2</f>
        <v>21.652576799293453</v>
      </c>
      <c r="M13" s="168">
        <f>N13*1.4</f>
        <v>18.04381399941121</v>
      </c>
      <c r="N13" s="154">
        <f>O13*1.1</f>
        <v>12.888438571008008</v>
      </c>
      <c r="O13" s="155">
        <f>P13*1.1</f>
        <v>11.716762337280006</v>
      </c>
      <c r="P13" s="156">
        <f>Q13*1.08</f>
        <v>10.651602124800004</v>
      </c>
      <c r="Q13" s="157">
        <f>R13*1.08</f>
        <v>9.8625945600000033</v>
      </c>
      <c r="R13" s="158">
        <f>S13*1.12</f>
        <v>9.1320320000000024</v>
      </c>
      <c r="S13" s="128">
        <f>T13*1.12</f>
        <v>8.1536000000000008</v>
      </c>
      <c r="T13" s="85">
        <v>7.28</v>
      </c>
      <c r="U13" s="86">
        <v>6.5</v>
      </c>
      <c r="V13" s="129">
        <v>6</v>
      </c>
    </row>
    <row r="14" spans="1:22" x14ac:dyDescent="0.2">
      <c r="D14" s="20" t="s">
        <v>65</v>
      </c>
      <c r="E14" s="19">
        <v>7.07</v>
      </c>
      <c r="F14" s="37">
        <f t="shared" si="0"/>
        <v>16.66</v>
      </c>
      <c r="G14" s="19">
        <v>3</v>
      </c>
      <c r="J14" s="176">
        <v>2</v>
      </c>
      <c r="K14" s="177" t="s">
        <v>119</v>
      </c>
      <c r="L14" s="178">
        <v>16.66</v>
      </c>
      <c r="M14" s="168">
        <f t="shared" ref="M14:M20" si="1">N14*1.4</f>
        <v>13.607216875929605</v>
      </c>
      <c r="N14" s="154">
        <f t="shared" ref="N14:O20" si="2">O14*1.1</f>
        <v>9.7194406256640047</v>
      </c>
      <c r="O14" s="155">
        <f t="shared" si="2"/>
        <v>8.8358551142400028</v>
      </c>
      <c r="P14" s="159">
        <f t="shared" ref="P14:Q20" si="3">Q14*1.08</f>
        <v>8.0325955584000024</v>
      </c>
      <c r="Q14" s="160">
        <f t="shared" si="3"/>
        <v>7.4375884800000014</v>
      </c>
      <c r="R14" s="161">
        <f t="shared" ref="R14:S20" si="4">S14*1.12</f>
        <v>6.8866560000000012</v>
      </c>
      <c r="S14" s="130">
        <f t="shared" si="4"/>
        <v>6.1488000000000005</v>
      </c>
      <c r="T14" s="87">
        <v>5.49</v>
      </c>
      <c r="U14" s="88">
        <v>4.9000000000000004</v>
      </c>
      <c r="V14" s="131">
        <v>4.5</v>
      </c>
    </row>
    <row r="15" spans="1:22" x14ac:dyDescent="0.2">
      <c r="D15" s="170" t="s">
        <v>182</v>
      </c>
      <c r="E15" s="19">
        <v>6.1</v>
      </c>
      <c r="F15" s="37">
        <f t="shared" si="0"/>
        <v>16.66</v>
      </c>
      <c r="G15" s="19">
        <v>5</v>
      </c>
      <c r="J15" s="176">
        <v>3</v>
      </c>
      <c r="K15" s="177" t="s">
        <v>120</v>
      </c>
      <c r="L15" s="178">
        <v>16.66</v>
      </c>
      <c r="M15" s="168">
        <f t="shared" si="1"/>
        <v>13.607216875929605</v>
      </c>
      <c r="N15" s="154">
        <f t="shared" si="2"/>
        <v>9.7194406256640047</v>
      </c>
      <c r="O15" s="155">
        <f t="shared" si="2"/>
        <v>8.8358551142400028</v>
      </c>
      <c r="P15" s="159">
        <f t="shared" si="3"/>
        <v>8.0325955584000024</v>
      </c>
      <c r="Q15" s="160">
        <f t="shared" si="3"/>
        <v>7.4375884800000014</v>
      </c>
      <c r="R15" s="161">
        <f t="shared" si="4"/>
        <v>6.8866560000000012</v>
      </c>
      <c r="S15" s="130">
        <f t="shared" si="4"/>
        <v>6.1488000000000005</v>
      </c>
      <c r="T15" s="87">
        <v>5.49</v>
      </c>
      <c r="U15" s="88">
        <v>4.9000000000000004</v>
      </c>
      <c r="V15" s="131">
        <v>4.5</v>
      </c>
    </row>
    <row r="16" spans="1:22" x14ac:dyDescent="0.2">
      <c r="D16" s="171" t="s">
        <v>183</v>
      </c>
      <c r="E16" s="63">
        <v>15.91</v>
      </c>
      <c r="F16" s="37">
        <f t="shared" si="0"/>
        <v>16.66</v>
      </c>
      <c r="G16" s="19">
        <v>5</v>
      </c>
      <c r="J16" s="176">
        <v>4</v>
      </c>
      <c r="K16" s="177" t="s">
        <v>121</v>
      </c>
      <c r="L16" s="178">
        <f t="shared" ref="L14:L20" si="5">M16*1.2</f>
        <v>17.310164419215369</v>
      </c>
      <c r="M16" s="168">
        <f t="shared" si="1"/>
        <v>14.425137016012807</v>
      </c>
      <c r="N16" s="154">
        <f t="shared" si="2"/>
        <v>10.303669297152005</v>
      </c>
      <c r="O16" s="155">
        <f t="shared" si="2"/>
        <v>9.3669720883200043</v>
      </c>
      <c r="P16" s="159">
        <f t="shared" si="3"/>
        <v>8.5154291712000028</v>
      </c>
      <c r="Q16" s="160">
        <f t="shared" si="3"/>
        <v>7.884656640000002</v>
      </c>
      <c r="R16" s="161">
        <f t="shared" si="4"/>
        <v>7.3006080000000013</v>
      </c>
      <c r="S16" s="130">
        <f t="shared" si="4"/>
        <v>6.5184000000000006</v>
      </c>
      <c r="T16" s="87">
        <v>5.82</v>
      </c>
      <c r="U16" s="88">
        <v>5.2</v>
      </c>
      <c r="V16" s="131">
        <v>4.8</v>
      </c>
    </row>
    <row r="17" spans="1:22" x14ac:dyDescent="0.2">
      <c r="D17" s="20" t="s">
        <v>126</v>
      </c>
      <c r="E17" s="19">
        <v>48.72</v>
      </c>
      <c r="F17" s="37">
        <f t="shared" si="0"/>
        <v>16.66</v>
      </c>
      <c r="G17" s="19">
        <v>5</v>
      </c>
      <c r="J17" s="176">
        <v>5</v>
      </c>
      <c r="K17" s="177" t="s">
        <v>123</v>
      </c>
      <c r="L17" s="178">
        <v>16.66</v>
      </c>
      <c r="M17" s="168">
        <f t="shared" si="1"/>
        <v>12.219231183667207</v>
      </c>
      <c r="N17" s="154">
        <f t="shared" si="2"/>
        <v>8.7280222740480049</v>
      </c>
      <c r="O17" s="155">
        <f t="shared" si="2"/>
        <v>7.9345657036800041</v>
      </c>
      <c r="P17" s="159">
        <f t="shared" si="3"/>
        <v>7.2132415488000028</v>
      </c>
      <c r="Q17" s="160">
        <f t="shared" si="3"/>
        <v>6.6789273600000021</v>
      </c>
      <c r="R17" s="161">
        <f t="shared" si="4"/>
        <v>6.1841920000000012</v>
      </c>
      <c r="S17" s="130">
        <f t="shared" si="4"/>
        <v>5.5216000000000003</v>
      </c>
      <c r="T17" s="87">
        <v>4.93</v>
      </c>
      <c r="U17" s="88">
        <v>4.4000000000000004</v>
      </c>
      <c r="V17" s="131">
        <v>4</v>
      </c>
    </row>
    <row r="18" spans="1:22" x14ac:dyDescent="0.2">
      <c r="D18" s="62" t="s">
        <v>70</v>
      </c>
      <c r="E18" s="63">
        <v>3.97</v>
      </c>
      <c r="F18" s="37">
        <f t="shared" si="0"/>
        <v>16.66</v>
      </c>
      <c r="G18" s="19">
        <v>5</v>
      </c>
      <c r="J18" s="176">
        <v>6</v>
      </c>
      <c r="K18" s="177" t="s">
        <v>122</v>
      </c>
      <c r="L18" s="178">
        <v>16.66</v>
      </c>
      <c r="M18" s="168">
        <f t="shared" si="1"/>
        <v>11.376525584793605</v>
      </c>
      <c r="N18" s="154">
        <f t="shared" si="2"/>
        <v>8.1260897034240038</v>
      </c>
      <c r="O18" s="155">
        <f t="shared" si="2"/>
        <v>7.3873542758400026</v>
      </c>
      <c r="P18" s="159">
        <f t="shared" si="3"/>
        <v>6.715776614400002</v>
      </c>
      <c r="Q18" s="160">
        <f t="shared" si="3"/>
        <v>6.2183116800000011</v>
      </c>
      <c r="R18" s="161">
        <f t="shared" si="4"/>
        <v>5.757696000000001</v>
      </c>
      <c r="S18" s="130">
        <f t="shared" si="4"/>
        <v>5.1408000000000005</v>
      </c>
      <c r="T18" s="87">
        <v>4.59</v>
      </c>
      <c r="U18" s="88">
        <v>4.0999999999999996</v>
      </c>
      <c r="V18" s="131">
        <v>3.8</v>
      </c>
    </row>
    <row r="19" spans="1:22" x14ac:dyDescent="0.2">
      <c r="D19" s="20" t="s">
        <v>81</v>
      </c>
      <c r="E19" s="19">
        <v>44.45</v>
      </c>
      <c r="F19" s="37">
        <f t="shared" si="0"/>
        <v>17.310164419215369</v>
      </c>
      <c r="G19" s="19">
        <v>4</v>
      </c>
      <c r="J19" s="176">
        <v>7</v>
      </c>
      <c r="K19" s="177" t="s">
        <v>122</v>
      </c>
      <c r="L19" s="178">
        <f t="shared" si="5"/>
        <v>28.969244234219531</v>
      </c>
      <c r="M19" s="168">
        <f t="shared" si="1"/>
        <v>24.14103686184961</v>
      </c>
      <c r="N19" s="154">
        <f t="shared" si="2"/>
        <v>17.243597758464009</v>
      </c>
      <c r="O19" s="155">
        <f t="shared" si="2"/>
        <v>15.675997962240007</v>
      </c>
      <c r="P19" s="159">
        <f t="shared" si="3"/>
        <v>14.250907238400005</v>
      </c>
      <c r="Q19" s="160">
        <f t="shared" si="3"/>
        <v>13.195284480000003</v>
      </c>
      <c r="R19" s="161">
        <f t="shared" si="4"/>
        <v>12.217856000000003</v>
      </c>
      <c r="S19" s="130">
        <f t="shared" si="4"/>
        <v>10.908800000000001</v>
      </c>
      <c r="T19" s="87">
        <v>9.74</v>
      </c>
      <c r="U19" s="88">
        <v>8.6999999999999993</v>
      </c>
      <c r="V19" s="131">
        <v>8</v>
      </c>
    </row>
    <row r="20" spans="1:22" ht="13.5" thickBot="1" x14ac:dyDescent="0.25">
      <c r="D20" s="20" t="s">
        <v>84</v>
      </c>
      <c r="E20" s="19">
        <v>12.18</v>
      </c>
      <c r="F20" s="37">
        <f t="shared" si="0"/>
        <v>17.310164419215369</v>
      </c>
      <c r="G20" s="19">
        <v>4</v>
      </c>
      <c r="J20" s="179">
        <v>7</v>
      </c>
      <c r="K20" s="180" t="s">
        <v>122</v>
      </c>
      <c r="L20" s="181">
        <f t="shared" si="5"/>
        <v>28.969244234219531</v>
      </c>
      <c r="M20" s="182">
        <f t="shared" si="1"/>
        <v>24.14103686184961</v>
      </c>
      <c r="N20" s="162">
        <f t="shared" si="2"/>
        <v>17.243597758464009</v>
      </c>
      <c r="O20" s="163">
        <f t="shared" si="2"/>
        <v>15.675997962240007</v>
      </c>
      <c r="P20" s="164">
        <f t="shared" si="3"/>
        <v>14.250907238400005</v>
      </c>
      <c r="Q20" s="165">
        <f t="shared" si="3"/>
        <v>13.195284480000003</v>
      </c>
      <c r="R20" s="166">
        <f t="shared" si="4"/>
        <v>12.217856000000003</v>
      </c>
      <c r="S20" s="132">
        <f>T20*1.12</f>
        <v>10.908800000000001</v>
      </c>
      <c r="T20" s="89">
        <v>9.74</v>
      </c>
      <c r="U20" s="90">
        <v>8.6999999999999993</v>
      </c>
      <c r="V20" s="133">
        <v>8</v>
      </c>
    </row>
    <row r="21" spans="1:22" x14ac:dyDescent="0.2">
      <c r="D21" s="20" t="s">
        <v>89</v>
      </c>
      <c r="E21" s="19">
        <v>8.3940000000000001</v>
      </c>
      <c r="F21" s="37">
        <f t="shared" si="0"/>
        <v>16.66</v>
      </c>
      <c r="G21" s="19">
        <v>3</v>
      </c>
    </row>
    <row r="22" spans="1:22" x14ac:dyDescent="0.2">
      <c r="G22" s="21"/>
      <c r="I22" s="44"/>
      <c r="J22" s="47"/>
      <c r="K22" s="44"/>
      <c r="L22" s="44"/>
      <c r="M22" s="44"/>
    </row>
    <row r="23" spans="1:22" x14ac:dyDescent="0.2">
      <c r="A23" s="32"/>
      <c r="B23" s="186"/>
      <c r="C23" s="23"/>
      <c r="D23" s="23"/>
      <c r="E23" s="23"/>
      <c r="G23" s="21"/>
      <c r="I23" s="44"/>
      <c r="J23" s="47"/>
      <c r="K23" s="44"/>
      <c r="L23" s="82"/>
      <c r="M23" s="82"/>
    </row>
    <row r="24" spans="1:22" x14ac:dyDescent="0.2">
      <c r="A24" s="32" t="s">
        <v>0</v>
      </c>
      <c r="B24" s="186" t="s">
        <v>108</v>
      </c>
      <c r="C24" s="23" t="s">
        <v>109</v>
      </c>
      <c r="D24" s="23" t="s">
        <v>1</v>
      </c>
      <c r="E24" s="24" t="s">
        <v>2</v>
      </c>
      <c r="F24" s="24" t="s">
        <v>110</v>
      </c>
      <c r="G24" s="21"/>
      <c r="I24" s="44"/>
      <c r="J24" s="47"/>
      <c r="K24" s="44"/>
      <c r="L24" s="82"/>
      <c r="M24" s="82"/>
    </row>
    <row r="25" spans="1:22" x14ac:dyDescent="0.2">
      <c r="A25" s="34" t="s">
        <v>35</v>
      </c>
      <c r="B25" s="100">
        <v>2</v>
      </c>
      <c r="C25" s="69">
        <f>(B6/1000)*E2</f>
        <v>12.864000000000001</v>
      </c>
      <c r="D25" s="134">
        <f>(C25/0.9235)*B25</f>
        <v>27.859231185706552</v>
      </c>
      <c r="E25" s="26">
        <f>D25*F2</f>
        <v>464.13479155387114</v>
      </c>
      <c r="F25" s="135"/>
      <c r="G25" s="21"/>
      <c r="I25" s="44"/>
      <c r="J25" s="47"/>
      <c r="K25" s="44"/>
      <c r="L25" s="82"/>
      <c r="M25" s="82"/>
    </row>
    <row r="26" spans="1:22" x14ac:dyDescent="0.2">
      <c r="A26" s="34" t="s">
        <v>36</v>
      </c>
      <c r="B26" s="100">
        <v>3</v>
      </c>
      <c r="C26" s="69">
        <f>(B5/1000)*E2</f>
        <v>12.864000000000001</v>
      </c>
      <c r="D26" s="134">
        <f>(C26/0.9235)*B26</f>
        <v>41.788846778559829</v>
      </c>
      <c r="E26" s="26">
        <f>D26*F2</f>
        <v>696.20218733080674</v>
      </c>
      <c r="F26" s="135"/>
      <c r="G26" s="21"/>
      <c r="I26" s="44"/>
      <c r="J26" s="47"/>
      <c r="K26" s="44"/>
      <c r="L26" s="82"/>
      <c r="M26" s="82"/>
    </row>
    <row r="27" spans="1:22" x14ac:dyDescent="0.2">
      <c r="A27" s="34" t="s">
        <v>42</v>
      </c>
      <c r="B27" s="100">
        <v>1</v>
      </c>
      <c r="C27" s="69">
        <f>((B5/1000)*(B6/1000))*E3</f>
        <v>33.911999999999992</v>
      </c>
      <c r="D27" s="134">
        <f>(C27/0.9235)*B27</f>
        <v>36.721169463995658</v>
      </c>
      <c r="E27" s="26">
        <f>D27*F3</f>
        <v>611.77468327016766</v>
      </c>
      <c r="F27" s="135"/>
      <c r="G27" s="21"/>
      <c r="I27" s="44"/>
      <c r="J27" s="47"/>
      <c r="K27" s="44"/>
      <c r="L27" s="82"/>
      <c r="M27" s="82"/>
    </row>
    <row r="28" spans="1:22" x14ac:dyDescent="0.2">
      <c r="A28" s="34" t="s">
        <v>60</v>
      </c>
      <c r="B28" s="100">
        <v>4</v>
      </c>
      <c r="C28" s="69">
        <f>(0.097*0.084)*E9</f>
        <v>1.218126</v>
      </c>
      <c r="D28" s="134">
        <f>(C28/0.9235)*B28</f>
        <v>5.2761277747698978</v>
      </c>
      <c r="E28" s="26">
        <f>D28*F9</f>
        <v>87.900288727666492</v>
      </c>
      <c r="F28" s="135"/>
      <c r="G28" s="21"/>
      <c r="I28" s="44"/>
      <c r="J28" s="47"/>
      <c r="K28" s="44"/>
      <c r="L28" s="82"/>
      <c r="M28" s="82"/>
    </row>
    <row r="29" spans="1:22" x14ac:dyDescent="0.2">
      <c r="A29" s="34"/>
      <c r="B29" s="100"/>
      <c r="C29" s="69"/>
      <c r="D29" s="134"/>
      <c r="E29" s="26"/>
      <c r="F29" s="135"/>
      <c r="G29" s="21"/>
      <c r="I29" s="44"/>
      <c r="J29" s="47"/>
      <c r="K29" s="44"/>
      <c r="L29" s="82"/>
      <c r="M29" s="82"/>
    </row>
    <row r="30" spans="1:22" x14ac:dyDescent="0.2">
      <c r="A30" s="34" t="s">
        <v>37</v>
      </c>
      <c r="B30" s="100">
        <v>2</v>
      </c>
      <c r="C30" s="69">
        <f>(B6/1000)*E2</f>
        <v>12.864000000000001</v>
      </c>
      <c r="D30" s="134">
        <f t="shared" ref="D30:D37" si="6">(C30/0.9235)*B30</f>
        <v>27.859231185706552</v>
      </c>
      <c r="E30" s="26">
        <f>D30*F2</f>
        <v>464.13479155387114</v>
      </c>
      <c r="F30" s="135"/>
      <c r="G30" s="21"/>
      <c r="I30" s="44"/>
      <c r="J30" s="47"/>
      <c r="K30" s="44"/>
      <c r="L30" s="44"/>
      <c r="M30" s="44"/>
    </row>
    <row r="31" spans="1:22" x14ac:dyDescent="0.2">
      <c r="A31" s="34" t="s">
        <v>38</v>
      </c>
      <c r="B31" s="100">
        <v>3</v>
      </c>
      <c r="C31" s="69">
        <f>(B5/1000)*E2</f>
        <v>12.864000000000001</v>
      </c>
      <c r="D31" s="134">
        <f t="shared" si="6"/>
        <v>41.788846778559829</v>
      </c>
      <c r="E31" s="26">
        <f>D31*F2</f>
        <v>696.20218733080674</v>
      </c>
      <c r="F31" s="135"/>
      <c r="G31" s="21"/>
    </row>
    <row r="32" spans="1:22" x14ac:dyDescent="0.2">
      <c r="A32" s="34" t="s">
        <v>60</v>
      </c>
      <c r="B32" s="100">
        <v>8</v>
      </c>
      <c r="C32" s="69">
        <f>(0.097*0.084)*E9</f>
        <v>1.218126</v>
      </c>
      <c r="D32" s="134">
        <f t="shared" si="6"/>
        <v>10.552255549539796</v>
      </c>
      <c r="E32" s="26">
        <f>D32*F9</f>
        <v>175.80057745533298</v>
      </c>
      <c r="F32" s="135"/>
    </row>
    <row r="33" spans="1:6" x14ac:dyDescent="0.2">
      <c r="A33" s="34" t="s">
        <v>61</v>
      </c>
      <c r="B33" s="100">
        <v>4</v>
      </c>
      <c r="C33" s="69">
        <f>(0.2*0.1)*E12</f>
        <v>2.4923750000000005</v>
      </c>
      <c r="D33" s="134">
        <f t="shared" si="6"/>
        <v>10.795343800757989</v>
      </c>
      <c r="E33" s="26">
        <f>D33*F12</f>
        <v>179.85042772062809</v>
      </c>
      <c r="F33" s="135"/>
    </row>
    <row r="34" spans="1:6" x14ac:dyDescent="0.2">
      <c r="A34" s="34" t="s">
        <v>62</v>
      </c>
      <c r="B34" s="100">
        <v>1</v>
      </c>
      <c r="C34" s="69">
        <f>((B5-(127*2))/1000)*0.127*E12</f>
        <v>14.971945862499998</v>
      </c>
      <c r="D34" s="134">
        <f t="shared" si="6"/>
        <v>16.212177436383321</v>
      </c>
      <c r="E34" s="26">
        <f>D34*F12</f>
        <v>270.09487609014616</v>
      </c>
      <c r="F34" s="135"/>
    </row>
    <row r="35" spans="1:6" x14ac:dyDescent="0.2">
      <c r="A35" s="34" t="s">
        <v>63</v>
      </c>
      <c r="B35" s="100">
        <v>4</v>
      </c>
      <c r="C35" s="69">
        <v>0.628</v>
      </c>
      <c r="D35" s="134">
        <f t="shared" si="6"/>
        <v>2.720086626962642</v>
      </c>
      <c r="E35" s="26">
        <f>D35*F13</f>
        <v>45.316643205197614</v>
      </c>
      <c r="F35" s="135"/>
    </row>
    <row r="36" spans="1:6" x14ac:dyDescent="0.2">
      <c r="A36" s="34" t="s">
        <v>64</v>
      </c>
      <c r="B36" s="100">
        <v>4</v>
      </c>
      <c r="C36" s="69">
        <f>(B7-81)/1000*E14</f>
        <v>1.1948300000000001</v>
      </c>
      <c r="D36" s="134">
        <f t="shared" si="6"/>
        <v>5.1752246886843531</v>
      </c>
      <c r="E36" s="26">
        <f>D36*F14</f>
        <v>86.219243313481329</v>
      </c>
      <c r="F36" s="135"/>
    </row>
    <row r="37" spans="1:6" x14ac:dyDescent="0.2">
      <c r="A37" s="34" t="s">
        <v>66</v>
      </c>
      <c r="B37" s="100">
        <v>4</v>
      </c>
      <c r="C37" s="69">
        <v>0.13500000000000001</v>
      </c>
      <c r="D37" s="134">
        <f t="shared" si="6"/>
        <v>0.58473199783432595</v>
      </c>
      <c r="E37" s="26">
        <f>D37*F3</f>
        <v>9.7416350839198707</v>
      </c>
      <c r="F37" s="135"/>
    </row>
    <row r="38" spans="1:6" x14ac:dyDescent="0.2">
      <c r="A38" s="32"/>
      <c r="B38" s="100"/>
      <c r="C38" s="69"/>
      <c r="D38" s="25"/>
      <c r="E38" s="26"/>
      <c r="F38" s="26"/>
    </row>
    <row r="39" spans="1:6" x14ac:dyDescent="0.2">
      <c r="A39" s="32" t="s">
        <v>43</v>
      </c>
      <c r="B39" s="100">
        <v>1</v>
      </c>
      <c r="C39" s="69">
        <f>((B5-396)/1000)*E4</f>
        <v>7.6380000000000008</v>
      </c>
      <c r="D39" s="25">
        <f t="shared" ref="D39:D49" si="7">C39*B39</f>
        <v>7.6380000000000008</v>
      </c>
      <c r="E39" s="26">
        <f>D39*F4</f>
        <v>165.3823815930034</v>
      </c>
      <c r="F39" s="26"/>
    </row>
    <row r="40" spans="1:6" x14ac:dyDescent="0.2">
      <c r="A40" s="32" t="s">
        <v>45</v>
      </c>
      <c r="B40" s="100">
        <v>4</v>
      </c>
      <c r="C40" s="69">
        <f>0.015785*E5</f>
        <v>0.76920305</v>
      </c>
      <c r="D40" s="25">
        <f t="shared" si="7"/>
        <v>3.0768122</v>
      </c>
      <c r="E40" s="26">
        <f>D40*F5</f>
        <v>53.26012506904776</v>
      </c>
      <c r="F40" s="26"/>
    </row>
    <row r="41" spans="1:6" x14ac:dyDescent="0.2">
      <c r="A41" s="32" t="s">
        <v>46</v>
      </c>
      <c r="B41" s="100">
        <v>2</v>
      </c>
      <c r="C41" s="69">
        <f>0.214*E6</f>
        <v>10.426079999999999</v>
      </c>
      <c r="D41" s="25">
        <f t="shared" si="7"/>
        <v>20.852159999999998</v>
      </c>
      <c r="E41" s="26">
        <f>D41*F6</f>
        <v>360.95431809578588</v>
      </c>
      <c r="F41" s="26"/>
    </row>
    <row r="42" spans="1:6" x14ac:dyDescent="0.2">
      <c r="A42" s="32" t="s">
        <v>48</v>
      </c>
      <c r="B42" s="100">
        <v>2</v>
      </c>
      <c r="C42" s="69">
        <f>(B10/1000)*((B7-60)/1000)*E7</f>
        <v>14.912625</v>
      </c>
      <c r="D42" s="25">
        <f>C42*B42</f>
        <v>29.82525</v>
      </c>
      <c r="E42" s="26">
        <f>D42*F7</f>
        <v>496.888665</v>
      </c>
      <c r="F42" s="26"/>
    </row>
    <row r="43" spans="1:6" x14ac:dyDescent="0.2">
      <c r="A43" s="32" t="s">
        <v>49</v>
      </c>
      <c r="B43" s="100">
        <v>2</v>
      </c>
      <c r="C43" s="69">
        <f>0.0565*E8</f>
        <v>1.05203</v>
      </c>
      <c r="D43" s="25">
        <f t="shared" si="7"/>
        <v>2.10406</v>
      </c>
      <c r="E43" s="26">
        <f>D43*F8</f>
        <v>36.421624547894289</v>
      </c>
      <c r="F43" s="26"/>
    </row>
    <row r="44" spans="1:6" x14ac:dyDescent="0.2">
      <c r="A44" s="32" t="s">
        <v>50</v>
      </c>
      <c r="B44" s="100">
        <v>2</v>
      </c>
      <c r="C44" s="69">
        <f>0.031*E8</f>
        <v>0.57722000000000007</v>
      </c>
      <c r="D44" s="25">
        <f t="shared" si="7"/>
        <v>1.1544400000000001</v>
      </c>
      <c r="E44" s="26">
        <f>D44*F8</f>
        <v>19.983546212118991</v>
      </c>
      <c r="F44" s="26"/>
    </row>
    <row r="45" spans="1:6" x14ac:dyDescent="0.2">
      <c r="A45" s="32" t="s">
        <v>51</v>
      </c>
      <c r="B45" s="100">
        <v>2</v>
      </c>
      <c r="C45" s="69">
        <f>0.037*E8</f>
        <v>0.68894</v>
      </c>
      <c r="D45" s="25">
        <f t="shared" si="7"/>
        <v>1.37788</v>
      </c>
      <c r="E45" s="26">
        <f>D45*F8</f>
        <v>23.851329349948472</v>
      </c>
      <c r="F45" s="26"/>
    </row>
    <row r="46" spans="1:6" x14ac:dyDescent="0.2">
      <c r="A46" s="32" t="s">
        <v>52</v>
      </c>
      <c r="B46" s="100">
        <v>2</v>
      </c>
      <c r="C46" s="69">
        <f>0.075*E8</f>
        <v>1.3965000000000001</v>
      </c>
      <c r="D46" s="25">
        <f t="shared" si="7"/>
        <v>2.7930000000000001</v>
      </c>
      <c r="E46" s="26">
        <f>D46*F8</f>
        <v>48.347289222868525</v>
      </c>
      <c r="F46" s="26"/>
    </row>
    <row r="47" spans="1:6" x14ac:dyDescent="0.2">
      <c r="A47" s="32" t="s">
        <v>53</v>
      </c>
      <c r="B47" s="100">
        <v>2</v>
      </c>
      <c r="C47" s="25">
        <f>0.0385*E8</f>
        <v>0.71687000000000001</v>
      </c>
      <c r="D47" s="25">
        <f t="shared" si="7"/>
        <v>1.43374</v>
      </c>
      <c r="E47" s="26">
        <f>D47*F8</f>
        <v>24.818275134405841</v>
      </c>
      <c r="F47" s="26"/>
    </row>
    <row r="48" spans="1:6" x14ac:dyDescent="0.2">
      <c r="A48" s="32" t="s">
        <v>54</v>
      </c>
      <c r="B48" s="100">
        <v>2</v>
      </c>
      <c r="C48" s="25">
        <f>(B11/1000)*0.168*E9</f>
        <v>3.7673999999999999</v>
      </c>
      <c r="D48" s="25">
        <f t="shared" si="7"/>
        <v>7.5347999999999997</v>
      </c>
      <c r="E48" s="26">
        <f>D48*F9</f>
        <v>125.52976799999999</v>
      </c>
      <c r="F48" s="26"/>
    </row>
    <row r="49" spans="1:12" x14ac:dyDescent="0.2">
      <c r="A49" s="32" t="s">
        <v>56</v>
      </c>
      <c r="B49" s="100">
        <v>2</v>
      </c>
      <c r="C49" s="25">
        <f>((B5-396)/1000)*E10</f>
        <v>4.9043999999999999</v>
      </c>
      <c r="D49" s="25">
        <f t="shared" si="7"/>
        <v>9.8087999999999997</v>
      </c>
      <c r="E49" s="26">
        <f>D49*F10</f>
        <v>163.41460799999999</v>
      </c>
      <c r="F49" s="26"/>
    </row>
    <row r="50" spans="1:12" x14ac:dyDescent="0.2">
      <c r="A50" s="32"/>
      <c r="B50" s="100"/>
      <c r="C50" s="25"/>
      <c r="D50" s="25"/>
      <c r="E50" s="26"/>
      <c r="F50" s="26"/>
    </row>
    <row r="51" spans="1:12" x14ac:dyDescent="0.2">
      <c r="A51" s="32" t="s">
        <v>48</v>
      </c>
      <c r="B51" s="100">
        <v>2</v>
      </c>
      <c r="C51" s="25">
        <f>(B10/1000)*((B7-60)/1000)*E7</f>
        <v>14.912625</v>
      </c>
      <c r="D51" s="25">
        <f>C51*B51</f>
        <v>29.82525</v>
      </c>
      <c r="E51" s="26">
        <f>D51*F7</f>
        <v>496.888665</v>
      </c>
      <c r="F51" s="26"/>
    </row>
    <row r="52" spans="1:12" x14ac:dyDescent="0.2">
      <c r="A52" s="32" t="s">
        <v>57</v>
      </c>
      <c r="B52" s="100">
        <v>2</v>
      </c>
      <c r="C52" s="25">
        <f>0.0355*E8</f>
        <v>0.66100999999999999</v>
      </c>
      <c r="D52" s="25">
        <f t="shared" ref="D52:D58" si="8">C52*B52</f>
        <v>1.32202</v>
      </c>
      <c r="E52" s="26">
        <f>D52*F8</f>
        <v>22.884383565491103</v>
      </c>
      <c r="F52" s="26"/>
    </row>
    <row r="53" spans="1:12" x14ac:dyDescent="0.2">
      <c r="A53" s="32" t="s">
        <v>58</v>
      </c>
      <c r="B53" s="100">
        <v>2</v>
      </c>
      <c r="C53" s="25">
        <f>0.02*E8</f>
        <v>0.37240000000000001</v>
      </c>
      <c r="D53" s="25">
        <f t="shared" si="8"/>
        <v>0.74480000000000002</v>
      </c>
      <c r="E53" s="26">
        <f>D53*F8</f>
        <v>12.892610459431607</v>
      </c>
      <c r="F53" s="26"/>
    </row>
    <row r="54" spans="1:12" x14ac:dyDescent="0.2">
      <c r="A54" s="32" t="s">
        <v>50</v>
      </c>
      <c r="B54" s="100">
        <v>2</v>
      </c>
      <c r="C54" s="25">
        <f>0.037*E8</f>
        <v>0.68894</v>
      </c>
      <c r="D54" s="25">
        <f t="shared" si="8"/>
        <v>1.37788</v>
      </c>
      <c r="E54" s="26">
        <f>D54*F8</f>
        <v>23.851329349948472</v>
      </c>
      <c r="F54" s="26"/>
    </row>
    <row r="55" spans="1:12" x14ac:dyDescent="0.2">
      <c r="A55" s="32" t="s">
        <v>51</v>
      </c>
      <c r="B55" s="100">
        <v>2</v>
      </c>
      <c r="C55" s="25">
        <f>0.031*E8</f>
        <v>0.57722000000000007</v>
      </c>
      <c r="D55" s="25">
        <f t="shared" si="8"/>
        <v>1.1544400000000001</v>
      </c>
      <c r="E55" s="26">
        <f>D55*F8</f>
        <v>19.983546212118991</v>
      </c>
      <c r="F55" s="26"/>
    </row>
    <row r="56" spans="1:12" x14ac:dyDescent="0.2">
      <c r="A56" s="32" t="s">
        <v>59</v>
      </c>
      <c r="B56" s="100">
        <v>4</v>
      </c>
      <c r="C56" s="25">
        <f>0.01*E11</f>
        <v>0.48720000000000002</v>
      </c>
      <c r="D56" s="25">
        <f t="shared" si="8"/>
        <v>1.9488000000000001</v>
      </c>
      <c r="E56" s="26">
        <f>D56*F11</f>
        <v>32.467008</v>
      </c>
      <c r="F56" s="26"/>
    </row>
    <row r="57" spans="1:12" x14ac:dyDescent="0.2">
      <c r="A57" s="32" t="s">
        <v>67</v>
      </c>
      <c r="B57" s="100">
        <v>1</v>
      </c>
      <c r="C57" s="25">
        <f>((B5-(157*2))/1000)*E15</f>
        <v>5.4045999999999994</v>
      </c>
      <c r="D57" s="25">
        <f t="shared" si="8"/>
        <v>5.4045999999999994</v>
      </c>
      <c r="E57" s="26">
        <f>D57*F15</f>
        <v>90.040635999999992</v>
      </c>
      <c r="F57" s="26"/>
    </row>
    <row r="58" spans="1:12" x14ac:dyDescent="0.2">
      <c r="A58" s="32" t="s">
        <v>68</v>
      </c>
      <c r="B58" s="100">
        <v>2</v>
      </c>
      <c r="C58" s="25">
        <v>0.13500000000000001</v>
      </c>
      <c r="D58" s="25">
        <f t="shared" si="8"/>
        <v>0.27</v>
      </c>
      <c r="E58" s="26">
        <f>D58*F3</f>
        <v>4.4982000000000006</v>
      </c>
      <c r="F58" s="26"/>
    </row>
    <row r="59" spans="1:12" x14ac:dyDescent="0.2">
      <c r="A59" s="32"/>
      <c r="B59" s="100"/>
      <c r="C59" s="25"/>
      <c r="D59" s="25"/>
      <c r="E59" s="26"/>
      <c r="F59" s="26"/>
    </row>
    <row r="60" spans="1:12" x14ac:dyDescent="0.2">
      <c r="A60" s="32" t="s">
        <v>149</v>
      </c>
      <c r="B60" s="100">
        <f>B9</f>
        <v>1</v>
      </c>
      <c r="C60" s="25">
        <f>(B12-321)/1000*E16</f>
        <v>4.4388900000000007</v>
      </c>
      <c r="D60" s="25">
        <f t="shared" ref="D60:D68" si="9">C60*B60</f>
        <v>4.4388900000000007</v>
      </c>
      <c r="E60" s="26">
        <f>D60*F16*2</f>
        <v>147.90381480000002</v>
      </c>
      <c r="F60" s="26"/>
    </row>
    <row r="61" spans="1:12" x14ac:dyDescent="0.2">
      <c r="A61" s="32" t="s">
        <v>150</v>
      </c>
      <c r="B61" s="100">
        <f>B60</f>
        <v>1</v>
      </c>
      <c r="C61" s="25">
        <f>0.058*E17</f>
        <v>2.8257600000000003</v>
      </c>
      <c r="D61" s="25">
        <f t="shared" si="9"/>
        <v>2.8257600000000003</v>
      </c>
      <c r="E61" s="26">
        <f>D61*F17*2</f>
        <v>94.154323200000007</v>
      </c>
      <c r="F61" s="26"/>
    </row>
    <row r="62" spans="1:12" x14ac:dyDescent="0.2">
      <c r="A62" s="32" t="s">
        <v>151</v>
      </c>
      <c r="B62" s="100">
        <f>B60</f>
        <v>1</v>
      </c>
      <c r="C62" s="25">
        <f>0.094*E5</f>
        <v>4.5806199999999997</v>
      </c>
      <c r="D62" s="25">
        <f t="shared" si="9"/>
        <v>4.5806199999999997</v>
      </c>
      <c r="E62" s="26">
        <f>D62*F5*2</f>
        <v>158.58257068389258</v>
      </c>
      <c r="F62" s="26"/>
      <c r="I62" s="22" t="s">
        <v>165</v>
      </c>
    </row>
    <row r="63" spans="1:12" x14ac:dyDescent="0.2">
      <c r="A63" s="32" t="s">
        <v>152</v>
      </c>
      <c r="B63" s="100">
        <f>B60</f>
        <v>1</v>
      </c>
      <c r="C63" s="25">
        <f>0.045*E17</f>
        <v>2.1923999999999997</v>
      </c>
      <c r="D63" s="25">
        <f t="shared" si="9"/>
        <v>2.1923999999999997</v>
      </c>
      <c r="E63" s="26">
        <f>D63*F17*2</f>
        <v>73.050767999999991</v>
      </c>
      <c r="F63" s="26"/>
      <c r="I63" s="142">
        <f>(SUM(E60:E68)+E73+E103+E104+E105)/B60</f>
        <v>786.83592790004809</v>
      </c>
      <c r="L63" s="139"/>
    </row>
    <row r="64" spans="1:12" x14ac:dyDescent="0.2">
      <c r="A64" s="32" t="s">
        <v>153</v>
      </c>
      <c r="B64" s="100">
        <f>B60</f>
        <v>1</v>
      </c>
      <c r="C64" s="25">
        <f>0.02*E18</f>
        <v>7.9400000000000012E-2</v>
      </c>
      <c r="D64" s="25">
        <f t="shared" si="9"/>
        <v>7.9400000000000012E-2</v>
      </c>
      <c r="E64" s="26">
        <f>D64*F18*2</f>
        <v>2.6456080000000006</v>
      </c>
      <c r="F64" s="26"/>
    </row>
    <row r="65" spans="1:6" x14ac:dyDescent="0.2">
      <c r="A65" s="32" t="s">
        <v>154</v>
      </c>
      <c r="B65" s="100">
        <f>B60</f>
        <v>1</v>
      </c>
      <c r="C65" s="25">
        <f>((B12-492)/1000)*E4</f>
        <v>1.026</v>
      </c>
      <c r="D65" s="25">
        <f t="shared" si="9"/>
        <v>1.026</v>
      </c>
      <c r="E65" s="26">
        <f>D65*F4*2</f>
        <v>44.431087592150163</v>
      </c>
      <c r="F65" s="26"/>
    </row>
    <row r="66" spans="1:6" x14ac:dyDescent="0.2">
      <c r="A66" s="32" t="s">
        <v>155</v>
      </c>
      <c r="B66" s="100">
        <f>B60</f>
        <v>1</v>
      </c>
      <c r="C66" s="25">
        <f>0.019*E11</f>
        <v>0.92567999999999995</v>
      </c>
      <c r="D66" s="25">
        <f t="shared" si="9"/>
        <v>0.92567999999999995</v>
      </c>
      <c r="E66" s="26">
        <f>D66*F11*2</f>
        <v>30.8436576</v>
      </c>
      <c r="F66" s="26"/>
    </row>
    <row r="67" spans="1:6" x14ac:dyDescent="0.2">
      <c r="A67" s="32" t="s">
        <v>156</v>
      </c>
      <c r="B67" s="100">
        <f>B60</f>
        <v>1</v>
      </c>
      <c r="C67" s="25">
        <f>(0.09*0.0762)*E7</f>
        <v>1.025271</v>
      </c>
      <c r="D67" s="25">
        <f t="shared" si="9"/>
        <v>1.025271</v>
      </c>
      <c r="E67" s="26">
        <f>D67*F7*2</f>
        <v>34.16202972</v>
      </c>
      <c r="F67" s="26"/>
    </row>
    <row r="68" spans="1:6" x14ac:dyDescent="0.2">
      <c r="A68" s="32" t="s">
        <v>157</v>
      </c>
      <c r="B68" s="100">
        <f>2*B60</f>
        <v>2</v>
      </c>
      <c r="C68" s="25">
        <f>0.0175*E8</f>
        <v>0.32585000000000003</v>
      </c>
      <c r="D68" s="25">
        <f t="shared" si="9"/>
        <v>0.65170000000000006</v>
      </c>
      <c r="E68" s="26">
        <f>D68*F8*2</f>
        <v>22.562068304005312</v>
      </c>
      <c r="F68" s="26"/>
    </row>
    <row r="69" spans="1:6" x14ac:dyDescent="0.2">
      <c r="A69" s="32"/>
      <c r="B69" s="100"/>
      <c r="C69" s="25"/>
      <c r="D69" s="25"/>
      <c r="E69" s="26"/>
      <c r="F69" s="26"/>
    </row>
    <row r="70" spans="1:6" x14ac:dyDescent="0.2">
      <c r="A70" s="32" t="s">
        <v>71</v>
      </c>
      <c r="B70" s="100">
        <v>4</v>
      </c>
      <c r="C70" s="25">
        <f>0.06*E16</f>
        <v>0.9546</v>
      </c>
      <c r="D70" s="25">
        <f>C70*B70</f>
        <v>3.8184</v>
      </c>
      <c r="E70" s="26">
        <f>D70*F16</f>
        <v>63.614544000000002</v>
      </c>
      <c r="F70" s="26"/>
    </row>
    <row r="71" spans="1:6" x14ac:dyDescent="0.2">
      <c r="A71" s="32" t="s">
        <v>111</v>
      </c>
      <c r="B71" s="100">
        <v>12</v>
      </c>
      <c r="C71" s="25"/>
      <c r="D71" s="25"/>
      <c r="E71" s="26">
        <f>B71*F71</f>
        <v>35.400000000000006</v>
      </c>
      <c r="F71" s="26">
        <v>2.95</v>
      </c>
    </row>
    <row r="72" spans="1:6" x14ac:dyDescent="0.2">
      <c r="A72" s="32" t="s">
        <v>72</v>
      </c>
      <c r="B72" s="100">
        <v>2</v>
      </c>
      <c r="C72" s="25"/>
      <c r="D72" s="25"/>
      <c r="E72" s="26">
        <f t="shared" ref="E72:E78" si="10">B72*F72</f>
        <v>6</v>
      </c>
      <c r="F72" s="26">
        <v>3</v>
      </c>
    </row>
    <row r="73" spans="1:6" x14ac:dyDescent="0.2">
      <c r="A73" s="32" t="s">
        <v>73</v>
      </c>
      <c r="B73" s="100">
        <f>7*B60</f>
        <v>7</v>
      </c>
      <c r="C73" s="25"/>
      <c r="D73" s="25"/>
      <c r="E73" s="26">
        <f t="shared" si="10"/>
        <v>55.65</v>
      </c>
      <c r="F73" s="26">
        <v>7.95</v>
      </c>
    </row>
    <row r="74" spans="1:6" x14ac:dyDescent="0.2">
      <c r="A74" s="32" t="s">
        <v>74</v>
      </c>
      <c r="B74" s="100">
        <v>0</v>
      </c>
      <c r="C74" s="25"/>
      <c r="D74" s="25"/>
      <c r="E74" s="26">
        <f t="shared" si="10"/>
        <v>0</v>
      </c>
      <c r="F74" s="26">
        <v>4.76</v>
      </c>
    </row>
    <row r="75" spans="1:6" x14ac:dyDescent="0.2">
      <c r="A75" s="32" t="s">
        <v>75</v>
      </c>
      <c r="B75" s="100">
        <v>0</v>
      </c>
      <c r="C75" s="25"/>
      <c r="D75" s="25"/>
      <c r="E75" s="26">
        <f t="shared" si="10"/>
        <v>0</v>
      </c>
      <c r="F75" s="26">
        <v>5.01</v>
      </c>
    </row>
    <row r="76" spans="1:6" x14ac:dyDescent="0.2">
      <c r="A76" s="32" t="s">
        <v>76</v>
      </c>
      <c r="B76" s="100">
        <v>0</v>
      </c>
      <c r="C76" s="25"/>
      <c r="D76" s="25"/>
      <c r="E76" s="26">
        <f t="shared" si="10"/>
        <v>0</v>
      </c>
      <c r="F76" s="26">
        <v>6.54</v>
      </c>
    </row>
    <row r="77" spans="1:6" x14ac:dyDescent="0.2">
      <c r="A77" s="32" t="s">
        <v>77</v>
      </c>
      <c r="B77" s="100">
        <v>0</v>
      </c>
      <c r="C77" s="25"/>
      <c r="D77" s="25"/>
      <c r="E77" s="26">
        <f t="shared" si="10"/>
        <v>0</v>
      </c>
      <c r="F77" s="26">
        <v>4.49</v>
      </c>
    </row>
    <row r="78" spans="1:6" x14ac:dyDescent="0.2">
      <c r="A78" s="32" t="s">
        <v>78</v>
      </c>
      <c r="B78" s="100">
        <v>0</v>
      </c>
      <c r="C78" s="25"/>
      <c r="D78" s="25"/>
      <c r="E78" s="26">
        <f t="shared" si="10"/>
        <v>0</v>
      </c>
      <c r="F78" s="26">
        <v>19.13</v>
      </c>
    </row>
    <row r="79" spans="1:6" x14ac:dyDescent="0.2">
      <c r="A79" s="65" t="s">
        <v>117</v>
      </c>
      <c r="B79" s="187">
        <v>1</v>
      </c>
      <c r="C79" s="66"/>
      <c r="D79" s="66"/>
      <c r="E79" s="67">
        <f>F79*B79</f>
        <v>750</v>
      </c>
      <c r="F79" s="67">
        <v>750</v>
      </c>
    </row>
    <row r="80" spans="1:6" x14ac:dyDescent="0.2">
      <c r="A80" s="68"/>
      <c r="B80" s="100"/>
      <c r="C80" s="69"/>
      <c r="D80" s="69"/>
      <c r="E80" s="70"/>
      <c r="F80" s="70"/>
    </row>
    <row r="81" spans="1:6" x14ac:dyDescent="0.2">
      <c r="A81" s="32" t="s">
        <v>79</v>
      </c>
      <c r="B81" s="100">
        <v>2</v>
      </c>
      <c r="C81" s="25">
        <f>0.015*E16</f>
        <v>0.23865</v>
      </c>
      <c r="D81" s="25">
        <f t="shared" ref="D81:D89" si="11">C81*B81</f>
        <v>0.4773</v>
      </c>
      <c r="E81" s="26">
        <f>D81*F16</f>
        <v>7.9518180000000003</v>
      </c>
      <c r="F81" s="26"/>
    </row>
    <row r="82" spans="1:6" x14ac:dyDescent="0.2">
      <c r="A82" s="32" t="s">
        <v>80</v>
      </c>
      <c r="B82" s="100">
        <v>2</v>
      </c>
      <c r="C82" s="25">
        <f>0.172*E19</f>
        <v>7.6453999999999995</v>
      </c>
      <c r="D82" s="25">
        <f t="shared" si="11"/>
        <v>15.290799999999999</v>
      </c>
      <c r="E82" s="26">
        <f>D82*F19</f>
        <v>264.68626210133834</v>
      </c>
      <c r="F82" s="26"/>
    </row>
    <row r="83" spans="1:6" x14ac:dyDescent="0.2">
      <c r="A83" s="32" t="s">
        <v>82</v>
      </c>
      <c r="B83" s="100">
        <v>2</v>
      </c>
      <c r="C83" s="25">
        <f>0.172*E19</f>
        <v>7.6453999999999995</v>
      </c>
      <c r="D83" s="25">
        <f t="shared" si="11"/>
        <v>15.290799999999999</v>
      </c>
      <c r="E83" s="26">
        <f>D83*F19</f>
        <v>264.68626210133834</v>
      </c>
      <c r="F83" s="26"/>
    </row>
    <row r="84" spans="1:6" x14ac:dyDescent="0.2">
      <c r="A84" s="32" t="s">
        <v>83</v>
      </c>
      <c r="B84" s="100">
        <v>2</v>
      </c>
      <c r="C84" s="25">
        <f>0.22*E20</f>
        <v>2.6795999999999998</v>
      </c>
      <c r="D84" s="25">
        <f t="shared" si="11"/>
        <v>5.3591999999999995</v>
      </c>
      <c r="E84" s="26">
        <f>D84*F20</f>
        <v>92.768633155459</v>
      </c>
      <c r="F84" s="26"/>
    </row>
    <row r="85" spans="1:6" x14ac:dyDescent="0.2">
      <c r="A85" s="32" t="s">
        <v>85</v>
      </c>
      <c r="B85" s="100">
        <v>2</v>
      </c>
      <c r="C85" s="25">
        <f>0.142*E20</f>
        <v>1.7295599999999998</v>
      </c>
      <c r="D85" s="25">
        <f t="shared" si="11"/>
        <v>3.4591199999999995</v>
      </c>
      <c r="E85" s="26">
        <f>D85*F20</f>
        <v>59.87793594579626</v>
      </c>
      <c r="F85" s="26"/>
    </row>
    <row r="86" spans="1:6" x14ac:dyDescent="0.2">
      <c r="A86" s="32" t="s">
        <v>86</v>
      </c>
      <c r="B86" s="100">
        <v>2</v>
      </c>
      <c r="C86" s="25">
        <f>0.142*E20</f>
        <v>1.7295599999999998</v>
      </c>
      <c r="D86" s="25">
        <f t="shared" si="11"/>
        <v>3.4591199999999995</v>
      </c>
      <c r="E86" s="26">
        <f>D86*F20</f>
        <v>59.87793594579626</v>
      </c>
      <c r="F86" s="26"/>
    </row>
    <row r="87" spans="1:6" x14ac:dyDescent="0.2">
      <c r="A87" s="32" t="s">
        <v>87</v>
      </c>
      <c r="B87" s="100">
        <v>2</v>
      </c>
      <c r="C87" s="25">
        <f>0.108*E20</f>
        <v>1.3154399999999999</v>
      </c>
      <c r="D87" s="25">
        <f t="shared" si="11"/>
        <v>2.6308799999999999</v>
      </c>
      <c r="E87" s="26">
        <f>D87*F20</f>
        <v>45.540965367225326</v>
      </c>
      <c r="F87" s="26"/>
    </row>
    <row r="88" spans="1:6" x14ac:dyDescent="0.2">
      <c r="A88" s="32" t="s">
        <v>88</v>
      </c>
      <c r="B88" s="100">
        <v>0</v>
      </c>
      <c r="C88" s="25">
        <f>(B6/1000)*E21</f>
        <v>10.072799999999999</v>
      </c>
      <c r="D88" s="25">
        <f t="shared" si="11"/>
        <v>0</v>
      </c>
      <c r="E88" s="26">
        <f>D88*F21</f>
        <v>0</v>
      </c>
      <c r="F88" s="26"/>
    </row>
    <row r="89" spans="1:6" x14ac:dyDescent="0.2">
      <c r="A89" s="32" t="s">
        <v>90</v>
      </c>
      <c r="B89" s="100">
        <v>0</v>
      </c>
      <c r="C89" s="25">
        <f>(B5/1000)*E21</f>
        <v>10.072799999999999</v>
      </c>
      <c r="D89" s="25">
        <f t="shared" si="11"/>
        <v>0</v>
      </c>
      <c r="E89" s="26">
        <f>D89*F21</f>
        <v>0</v>
      </c>
      <c r="F89" s="26"/>
    </row>
    <row r="90" spans="1:6" x14ac:dyDescent="0.2">
      <c r="A90" s="32"/>
      <c r="B90" s="100"/>
      <c r="C90" s="25"/>
      <c r="D90" s="25"/>
      <c r="E90" s="26"/>
      <c r="F90" s="26"/>
    </row>
    <row r="91" spans="1:6" x14ac:dyDescent="0.2">
      <c r="A91" s="32" t="s">
        <v>91</v>
      </c>
      <c r="B91" s="100">
        <v>2</v>
      </c>
      <c r="C91" s="25"/>
      <c r="D91" s="25"/>
      <c r="E91" s="26">
        <f t="shared" ref="E91:E105" si="12">B91*F91</f>
        <v>1.9</v>
      </c>
      <c r="F91" s="26">
        <v>0.95</v>
      </c>
    </row>
    <row r="92" spans="1:6" x14ac:dyDescent="0.2">
      <c r="A92" s="32" t="s">
        <v>92</v>
      </c>
      <c r="B92" s="100">
        <v>2</v>
      </c>
      <c r="C92" s="25"/>
      <c r="D92" s="25"/>
      <c r="E92" s="26">
        <f t="shared" si="12"/>
        <v>0.12</v>
      </c>
      <c r="F92" s="26">
        <v>0.06</v>
      </c>
    </row>
    <row r="93" spans="1:6" x14ac:dyDescent="0.2">
      <c r="A93" s="32" t="s">
        <v>93</v>
      </c>
      <c r="B93" s="100">
        <v>4</v>
      </c>
      <c r="C93" s="25"/>
      <c r="D93" s="25"/>
      <c r="E93" s="26">
        <f t="shared" si="12"/>
        <v>2.96</v>
      </c>
      <c r="F93" s="26">
        <v>0.74</v>
      </c>
    </row>
    <row r="94" spans="1:6" x14ac:dyDescent="0.2">
      <c r="A94" s="32" t="s">
        <v>94</v>
      </c>
      <c r="B94" s="100">
        <v>4</v>
      </c>
      <c r="C94" s="25"/>
      <c r="D94" s="25"/>
      <c r="E94" s="26">
        <f t="shared" si="12"/>
        <v>5.4</v>
      </c>
      <c r="F94" s="26">
        <v>1.35</v>
      </c>
    </row>
    <row r="95" spans="1:6" x14ac:dyDescent="0.2">
      <c r="A95" s="33" t="s">
        <v>95</v>
      </c>
      <c r="B95" s="100">
        <v>8</v>
      </c>
      <c r="C95" s="25"/>
      <c r="D95" s="25"/>
      <c r="E95" s="26">
        <f t="shared" si="12"/>
        <v>7.36</v>
      </c>
      <c r="F95" s="26">
        <v>0.92</v>
      </c>
    </row>
    <row r="96" spans="1:6" x14ac:dyDescent="0.2">
      <c r="A96" s="32" t="s">
        <v>96</v>
      </c>
      <c r="B96" s="100">
        <v>8</v>
      </c>
      <c r="C96" s="25"/>
      <c r="D96" s="25"/>
      <c r="E96" s="26">
        <f t="shared" si="12"/>
        <v>10.32</v>
      </c>
      <c r="F96" s="26">
        <v>1.29</v>
      </c>
    </row>
    <row r="97" spans="1:9" x14ac:dyDescent="0.2">
      <c r="A97" s="32" t="s">
        <v>97</v>
      </c>
      <c r="B97" s="100">
        <v>8</v>
      </c>
      <c r="C97" s="25"/>
      <c r="D97" s="25"/>
      <c r="E97" s="26">
        <f t="shared" si="12"/>
        <v>1.68</v>
      </c>
      <c r="F97" s="26">
        <v>0.21</v>
      </c>
    </row>
    <row r="98" spans="1:9" x14ac:dyDescent="0.2">
      <c r="A98" s="32" t="s">
        <v>98</v>
      </c>
      <c r="B98" s="100">
        <v>8</v>
      </c>
      <c r="C98" s="25"/>
      <c r="D98" s="25"/>
      <c r="E98" s="26">
        <f t="shared" si="12"/>
        <v>1.6</v>
      </c>
      <c r="F98" s="26">
        <v>0.2</v>
      </c>
    </row>
    <row r="99" spans="1:9" x14ac:dyDescent="0.2">
      <c r="A99" s="32" t="s">
        <v>99</v>
      </c>
      <c r="B99" s="100">
        <v>16</v>
      </c>
      <c r="C99" s="25"/>
      <c r="D99" s="25"/>
      <c r="E99" s="26">
        <f t="shared" si="12"/>
        <v>3.36</v>
      </c>
      <c r="F99" s="26">
        <v>0.21</v>
      </c>
    </row>
    <row r="100" spans="1:9" x14ac:dyDescent="0.2">
      <c r="A100" s="33" t="s">
        <v>100</v>
      </c>
      <c r="B100" s="100">
        <v>16</v>
      </c>
      <c r="C100" s="25"/>
      <c r="D100" s="25"/>
      <c r="E100" s="26">
        <f t="shared" si="12"/>
        <v>22.4</v>
      </c>
      <c r="F100" s="26">
        <v>1.4</v>
      </c>
    </row>
    <row r="101" spans="1:9" x14ac:dyDescent="0.2">
      <c r="A101" s="32" t="s">
        <v>101</v>
      </c>
      <c r="B101" s="100">
        <v>4</v>
      </c>
      <c r="C101" s="25"/>
      <c r="D101" s="25"/>
      <c r="E101" s="26">
        <f t="shared" si="12"/>
        <v>3.6</v>
      </c>
      <c r="F101" s="26">
        <v>0.9</v>
      </c>
    </row>
    <row r="102" spans="1:9" x14ac:dyDescent="0.2">
      <c r="A102" s="32" t="s">
        <v>102</v>
      </c>
      <c r="B102" s="100">
        <v>4</v>
      </c>
      <c r="C102" s="25"/>
      <c r="D102" s="25"/>
      <c r="E102" s="26">
        <f t="shared" si="12"/>
        <v>11.72</v>
      </c>
      <c r="F102" s="26">
        <v>2.93</v>
      </c>
    </row>
    <row r="103" spans="1:9" x14ac:dyDescent="0.2">
      <c r="A103" s="32" t="s">
        <v>103</v>
      </c>
      <c r="B103" s="100">
        <f>2*B60</f>
        <v>2</v>
      </c>
      <c r="C103" s="25"/>
      <c r="D103" s="25"/>
      <c r="E103" s="26">
        <f t="shared" si="12"/>
        <v>92.9</v>
      </c>
      <c r="F103" s="26">
        <v>46.45</v>
      </c>
    </row>
    <row r="104" spans="1:9" x14ac:dyDescent="0.2">
      <c r="A104" s="32" t="s">
        <v>104</v>
      </c>
      <c r="B104" s="100">
        <f>B60</f>
        <v>1</v>
      </c>
      <c r="C104" s="25"/>
      <c r="D104" s="25"/>
      <c r="E104" s="26">
        <f t="shared" si="12"/>
        <v>24.95</v>
      </c>
      <c r="F104" s="26">
        <v>24.95</v>
      </c>
      <c r="G104" s="44"/>
      <c r="H104" s="47"/>
      <c r="I104" s="47"/>
    </row>
    <row r="105" spans="1:9" x14ac:dyDescent="0.2">
      <c r="A105" s="32" t="s">
        <v>105</v>
      </c>
      <c r="B105" s="100">
        <f>B104</f>
        <v>1</v>
      </c>
      <c r="C105" s="25"/>
      <c r="D105" s="25"/>
      <c r="E105" s="26">
        <f t="shared" si="12"/>
        <v>5</v>
      </c>
      <c r="F105" s="26">
        <v>5</v>
      </c>
      <c r="G105" s="44"/>
      <c r="H105" s="48"/>
      <c r="I105" s="44"/>
    </row>
    <row r="106" spans="1:9" x14ac:dyDescent="0.2">
      <c r="A106" s="32"/>
      <c r="B106" s="100"/>
      <c r="C106" s="25"/>
      <c r="D106" s="25"/>
      <c r="E106" s="26"/>
      <c r="F106" s="26"/>
      <c r="G106" s="44"/>
      <c r="H106" s="48"/>
      <c r="I106" s="44"/>
    </row>
    <row r="107" spans="1:9" x14ac:dyDescent="0.2">
      <c r="A107" s="32" t="s">
        <v>197</v>
      </c>
      <c r="B107" s="100">
        <v>1</v>
      </c>
      <c r="C107" s="25">
        <v>120</v>
      </c>
      <c r="D107" s="25"/>
      <c r="E107" s="26">
        <f>F107*C107</f>
        <v>2340</v>
      </c>
      <c r="F107" s="26">
        <v>19.5</v>
      </c>
      <c r="G107" s="44"/>
      <c r="H107" s="48"/>
      <c r="I107" s="44"/>
    </row>
    <row r="108" spans="1:9" x14ac:dyDescent="0.2">
      <c r="A108" s="32" t="s">
        <v>198</v>
      </c>
      <c r="B108" s="100">
        <v>28</v>
      </c>
      <c r="C108" s="25"/>
      <c r="D108" s="25"/>
      <c r="E108" s="26">
        <f>F108*B108</f>
        <v>5180</v>
      </c>
      <c r="F108" s="26">
        <v>185</v>
      </c>
      <c r="G108" s="44"/>
      <c r="H108" s="48"/>
      <c r="I108" s="44"/>
    </row>
    <row r="109" spans="1:9" x14ac:dyDescent="0.2">
      <c r="A109" s="32" t="s">
        <v>199</v>
      </c>
      <c r="B109" s="100">
        <v>1</v>
      </c>
      <c r="C109" s="25"/>
      <c r="D109" s="25"/>
      <c r="E109" s="26">
        <f>F109*B109</f>
        <v>4500</v>
      </c>
      <c r="F109" s="26">
        <v>4500</v>
      </c>
      <c r="G109" s="44"/>
      <c r="H109" s="48"/>
      <c r="I109" s="44"/>
    </row>
    <row r="110" spans="1:9" x14ac:dyDescent="0.2">
      <c r="A110" s="32"/>
      <c r="B110" s="100"/>
      <c r="C110" s="25"/>
      <c r="D110" s="25"/>
      <c r="E110" s="26"/>
      <c r="F110" s="26"/>
      <c r="G110" s="44"/>
      <c r="H110" s="48"/>
      <c r="I110" s="44"/>
    </row>
    <row r="111" spans="1:9" x14ac:dyDescent="0.2">
      <c r="A111" s="45" t="s">
        <v>116</v>
      </c>
      <c r="B111" s="100">
        <v>1</v>
      </c>
      <c r="C111" s="46">
        <f>(((B5*2)/1000)+((B6*2)/1000))*(B8/1000)</f>
        <v>3.84</v>
      </c>
      <c r="D111" s="46"/>
      <c r="E111" s="35">
        <f>F111*C111</f>
        <v>2304</v>
      </c>
      <c r="F111" s="35">
        <v>600</v>
      </c>
      <c r="I111" s="139"/>
    </row>
    <row r="112" spans="1:9" x14ac:dyDescent="0.2">
      <c r="A112" s="68"/>
      <c r="B112" s="188"/>
      <c r="C112" s="69"/>
      <c r="D112" s="69"/>
      <c r="E112" s="70"/>
      <c r="F112" s="70"/>
      <c r="I112" s="139"/>
    </row>
    <row r="113" spans="1:20" x14ac:dyDescent="0.2">
      <c r="A113" s="45" t="s">
        <v>114</v>
      </c>
      <c r="B113" s="100">
        <v>1</v>
      </c>
      <c r="C113" s="46"/>
      <c r="D113" s="46"/>
      <c r="E113" s="35">
        <f>F113*B113</f>
        <v>10000</v>
      </c>
      <c r="F113" s="35">
        <v>10000</v>
      </c>
      <c r="J113" s="47"/>
      <c r="K113" s="47"/>
      <c r="L113" s="44"/>
      <c r="M113" s="44"/>
      <c r="N113" s="44"/>
      <c r="O113" s="44"/>
      <c r="S113" s="139"/>
      <c r="T113" s="139"/>
    </row>
    <row r="114" spans="1:20" x14ac:dyDescent="0.2">
      <c r="B114" s="189"/>
      <c r="C114" s="28"/>
      <c r="D114" s="25">
        <f>SUM(D25:D113)</f>
        <v>424.51134646746084</v>
      </c>
      <c r="E114" s="136">
        <f>SUM(E25:E113)</f>
        <v>32843.390925964959</v>
      </c>
      <c r="F114" s="29"/>
      <c r="J114" s="47"/>
      <c r="K114" s="44"/>
      <c r="L114" s="49"/>
      <c r="M114" s="49"/>
      <c r="N114" s="50"/>
      <c r="O114" s="44"/>
      <c r="S114" s="139"/>
      <c r="T114" s="139"/>
    </row>
    <row r="115" spans="1:20" x14ac:dyDescent="0.2">
      <c r="B115" s="189"/>
      <c r="C115" s="28"/>
      <c r="D115" s="28"/>
      <c r="J115" s="47"/>
      <c r="K115" s="44"/>
      <c r="L115" s="49"/>
      <c r="M115" s="49"/>
      <c r="N115" s="50"/>
      <c r="O115" s="44"/>
      <c r="S115" s="139"/>
      <c r="T115" s="139"/>
    </row>
    <row r="116" spans="1:20" x14ac:dyDescent="0.2">
      <c r="B116" s="189"/>
      <c r="C116" s="28"/>
      <c r="D116" s="28"/>
    </row>
    <row r="117" spans="1:20" x14ac:dyDescent="0.2">
      <c r="A117" s="34" t="s">
        <v>158</v>
      </c>
      <c r="B117" s="100">
        <v>1</v>
      </c>
      <c r="C117" s="25"/>
      <c r="D117" s="25"/>
      <c r="E117" s="35">
        <f>B117*F117</f>
        <v>3654.54545454545</v>
      </c>
      <c r="F117" s="97">
        <f>IF(G117=1,K$118,IF(G117=2,K$119,IF(G117=3,K$120,IF(G117=4,K$121,IF(G117=5,K$122,IF(G117=6,K$123))))))</f>
        <v>3654.54545454545</v>
      </c>
      <c r="G117" s="98">
        <v>2</v>
      </c>
      <c r="H117" s="99" t="s">
        <v>159</v>
      </c>
      <c r="J117" s="92" t="s">
        <v>159</v>
      </c>
      <c r="K117" s="93" t="s">
        <v>161</v>
      </c>
      <c r="L117" s="93" t="s">
        <v>160</v>
      </c>
      <c r="M117" s="93" t="s">
        <v>160</v>
      </c>
    </row>
    <row r="118" spans="1:20" x14ac:dyDescent="0.2">
      <c r="A118" s="34" t="s">
        <v>148</v>
      </c>
      <c r="B118" s="100">
        <v>1</v>
      </c>
      <c r="C118" s="25"/>
      <c r="D118" s="25"/>
      <c r="E118" s="26">
        <f>B118*F118</f>
        <v>1200</v>
      </c>
      <c r="F118" s="35">
        <f>IF(G117=1,L$118,IF(G117=2,L$119,IF(G117=3,L$120,IF(G117=4,L$121,IF(G117=5,L$122,IF(G117=6,L$123))))))</f>
        <v>1200</v>
      </c>
      <c r="J118" s="100">
        <v>1</v>
      </c>
      <c r="K118" s="101">
        <v>35000</v>
      </c>
      <c r="L118" s="101">
        <v>4500</v>
      </c>
      <c r="M118" s="101">
        <v>2500</v>
      </c>
      <c r="N118" s="102" t="s">
        <v>164</v>
      </c>
      <c r="P118" s="141" t="s">
        <v>146</v>
      </c>
    </row>
    <row r="119" spans="1:20" x14ac:dyDescent="0.2">
      <c r="B119" s="189">
        <v>0</v>
      </c>
      <c r="C119" s="28"/>
      <c r="D119" s="28"/>
      <c r="E119" s="29">
        <f>SUM(E117:E118)</f>
        <v>4854.5454545454504</v>
      </c>
      <c r="J119" s="95">
        <v>2</v>
      </c>
      <c r="K119" s="96">
        <f>700+2954.54545454545</f>
        <v>3654.54545454545</v>
      </c>
      <c r="L119" s="94">
        <v>1200</v>
      </c>
      <c r="M119" s="94">
        <v>800</v>
      </c>
      <c r="P119" s="140">
        <v>2600</v>
      </c>
    </row>
    <row r="120" spans="1:20" x14ac:dyDescent="0.2">
      <c r="B120" s="189"/>
      <c r="C120" s="28"/>
      <c r="D120" s="28"/>
      <c r="E120" s="29"/>
      <c r="J120" s="95">
        <v>3</v>
      </c>
      <c r="K120" s="96">
        <v>3181.818181818182</v>
      </c>
      <c r="L120" s="94">
        <v>1250</v>
      </c>
      <c r="M120" s="94">
        <v>1250</v>
      </c>
      <c r="P120" s="140">
        <v>2800</v>
      </c>
      <c r="R120" s="139"/>
    </row>
    <row r="121" spans="1:20" ht="13.5" x14ac:dyDescent="0.25">
      <c r="A121" s="33" t="s">
        <v>19</v>
      </c>
      <c r="B121" s="38">
        <v>1</v>
      </c>
      <c r="C121" s="30"/>
      <c r="D121" s="25"/>
      <c r="E121" s="26">
        <f>B121*F121</f>
        <v>35.89</v>
      </c>
      <c r="F121" s="26">
        <v>35.89</v>
      </c>
      <c r="J121" s="95">
        <v>4</v>
      </c>
      <c r="K121" s="96">
        <v>3522.7272727272725</v>
      </c>
      <c r="L121" s="94">
        <v>1500</v>
      </c>
      <c r="M121" s="94">
        <v>1500</v>
      </c>
      <c r="P121" s="140">
        <v>3100</v>
      </c>
    </row>
    <row r="122" spans="1:20" ht="13.5" x14ac:dyDescent="0.25">
      <c r="A122" s="33" t="s">
        <v>26</v>
      </c>
      <c r="B122" s="38">
        <v>1</v>
      </c>
      <c r="C122" s="30"/>
      <c r="D122" s="25"/>
      <c r="E122" s="26">
        <f>B122*F122</f>
        <v>29</v>
      </c>
      <c r="F122" s="26">
        <v>29</v>
      </c>
      <c r="J122" s="95">
        <v>5</v>
      </c>
      <c r="K122" s="96">
        <v>3977.2727272727275</v>
      </c>
      <c r="L122" s="94">
        <v>1750</v>
      </c>
      <c r="M122" s="94">
        <v>1750</v>
      </c>
      <c r="P122" s="140">
        <v>3500</v>
      </c>
    </row>
    <row r="123" spans="1:20" ht="13.5" x14ac:dyDescent="0.25">
      <c r="A123" s="33" t="s">
        <v>27</v>
      </c>
      <c r="B123" s="38">
        <v>1</v>
      </c>
      <c r="C123" s="30"/>
      <c r="D123" s="25"/>
      <c r="E123" s="26">
        <f>B123*F123</f>
        <v>29</v>
      </c>
      <c r="F123" s="26">
        <v>29</v>
      </c>
      <c r="J123" s="92">
        <v>6</v>
      </c>
      <c r="K123" s="94">
        <v>4886.363636363636</v>
      </c>
      <c r="L123" s="94">
        <v>2000</v>
      </c>
      <c r="M123" s="94">
        <v>2000</v>
      </c>
      <c r="P123" s="140">
        <v>4300</v>
      </c>
    </row>
    <row r="124" spans="1:20" ht="13.5" x14ac:dyDescent="0.25">
      <c r="A124" s="33" t="s">
        <v>22</v>
      </c>
      <c r="B124" s="38">
        <v>0</v>
      </c>
      <c r="C124" s="30"/>
      <c r="D124" s="25"/>
      <c r="E124" s="26">
        <f>B124*F124</f>
        <v>0</v>
      </c>
      <c r="F124" s="26">
        <v>790</v>
      </c>
    </row>
    <row r="125" spans="1:20" ht="13.5" x14ac:dyDescent="0.25">
      <c r="A125" s="33"/>
      <c r="B125" s="38"/>
      <c r="C125" s="30"/>
      <c r="D125" s="25"/>
      <c r="E125" s="27"/>
      <c r="F125" s="27"/>
    </row>
    <row r="126" spans="1:20" ht="13.5" x14ac:dyDescent="0.25">
      <c r="A126" s="33" t="s">
        <v>20</v>
      </c>
      <c r="B126" s="38">
        <v>1</v>
      </c>
      <c r="C126" s="30"/>
      <c r="D126" s="25"/>
      <c r="E126" s="26">
        <f>B126*F126</f>
        <v>49.47</v>
      </c>
      <c r="F126" s="26">
        <v>49.47</v>
      </c>
    </row>
    <row r="127" spans="1:20" ht="13.5" x14ac:dyDescent="0.25">
      <c r="A127" s="33"/>
      <c r="B127" s="38"/>
      <c r="C127" s="30"/>
      <c r="D127" s="25"/>
      <c r="E127" s="27"/>
      <c r="F127" s="27"/>
    </row>
    <row r="128" spans="1:20" ht="13.5" x14ac:dyDescent="0.25">
      <c r="A128" s="33" t="s">
        <v>177</v>
      </c>
      <c r="B128" s="38">
        <v>1</v>
      </c>
      <c r="C128" s="30"/>
      <c r="D128" s="25"/>
      <c r="E128" s="26">
        <f>B128*F128</f>
        <v>280</v>
      </c>
      <c r="F128" s="26">
        <v>280</v>
      </c>
    </row>
    <row r="129" spans="1:6" ht="13.5" x14ac:dyDescent="0.25">
      <c r="A129" s="33" t="s">
        <v>21</v>
      </c>
      <c r="B129" s="38">
        <v>0</v>
      </c>
      <c r="C129" s="30"/>
      <c r="D129" s="25"/>
      <c r="E129" s="26">
        <f>B129*F129</f>
        <v>0</v>
      </c>
      <c r="F129" s="26">
        <v>0</v>
      </c>
    </row>
    <row r="130" spans="1:6" ht="13.5" x14ac:dyDescent="0.25">
      <c r="A130" s="33"/>
      <c r="B130" s="38"/>
      <c r="C130" s="30"/>
      <c r="D130" s="25"/>
      <c r="E130" s="27"/>
      <c r="F130" s="27"/>
    </row>
    <row r="131" spans="1:6" ht="13.5" x14ac:dyDescent="0.25">
      <c r="A131" s="33" t="s">
        <v>178</v>
      </c>
      <c r="B131" s="38">
        <v>2</v>
      </c>
      <c r="C131" s="30"/>
      <c r="D131" s="25"/>
      <c r="E131" s="26">
        <f>B131*F131</f>
        <v>500</v>
      </c>
      <c r="F131" s="26">
        <v>250</v>
      </c>
    </row>
    <row r="132" spans="1:6" ht="13.5" x14ac:dyDescent="0.25">
      <c r="A132" s="33"/>
      <c r="B132" s="38"/>
      <c r="C132" s="30"/>
      <c r="D132" s="25"/>
      <c r="E132" s="27"/>
      <c r="F132" s="27"/>
    </row>
    <row r="133" spans="1:6" ht="13.5" x14ac:dyDescent="0.25">
      <c r="A133" s="33" t="s">
        <v>23</v>
      </c>
      <c r="B133" s="38">
        <v>0</v>
      </c>
      <c r="C133" s="30"/>
      <c r="D133" s="25"/>
      <c r="E133" s="26">
        <f>B133*F133</f>
        <v>0</v>
      </c>
      <c r="F133" s="26">
        <v>0</v>
      </c>
    </row>
    <row r="134" spans="1:6" ht="13.5" x14ac:dyDescent="0.25">
      <c r="A134" s="33" t="s">
        <v>30</v>
      </c>
      <c r="B134" s="38">
        <v>0</v>
      </c>
      <c r="C134" s="30"/>
      <c r="D134" s="25"/>
      <c r="E134" s="26">
        <f>B134*F134</f>
        <v>0</v>
      </c>
      <c r="F134" s="26">
        <v>120</v>
      </c>
    </row>
    <row r="135" spans="1:6" ht="13.5" x14ac:dyDescent="0.25">
      <c r="A135" s="33"/>
      <c r="B135" s="38"/>
      <c r="C135" s="30"/>
      <c r="D135" s="25"/>
      <c r="E135" s="27"/>
      <c r="F135" s="27"/>
    </row>
    <row r="136" spans="1:6" ht="13.5" x14ac:dyDescent="0.25">
      <c r="A136" s="33" t="s">
        <v>179</v>
      </c>
      <c r="B136" s="38">
        <v>1</v>
      </c>
      <c r="C136" s="30"/>
      <c r="D136" s="25"/>
      <c r="E136" s="26">
        <f>B136*F136</f>
        <v>260</v>
      </c>
      <c r="F136" s="26">
        <v>260</v>
      </c>
    </row>
    <row r="137" spans="1:6" ht="13.5" x14ac:dyDescent="0.25">
      <c r="A137" s="33" t="s">
        <v>28</v>
      </c>
      <c r="B137" s="38">
        <v>0</v>
      </c>
      <c r="C137" s="30"/>
      <c r="D137" s="25"/>
      <c r="E137" s="26">
        <f>B137*F137</f>
        <v>0</v>
      </c>
      <c r="F137" s="26">
        <v>150</v>
      </c>
    </row>
    <row r="138" spans="1:6" ht="13.5" x14ac:dyDescent="0.25">
      <c r="A138" s="33" t="s">
        <v>106</v>
      </c>
      <c r="B138" s="38">
        <v>0</v>
      </c>
      <c r="C138" s="30"/>
      <c r="D138" s="25"/>
      <c r="E138" s="26">
        <f>B138*F138</f>
        <v>0</v>
      </c>
      <c r="F138" s="26">
        <v>160</v>
      </c>
    </row>
    <row r="139" spans="1:6" ht="13.5" x14ac:dyDescent="0.25">
      <c r="A139" s="33" t="s">
        <v>112</v>
      </c>
      <c r="B139" s="38">
        <v>0</v>
      </c>
      <c r="C139" s="30"/>
      <c r="D139" s="25"/>
      <c r="E139" s="26">
        <f>B139*F139</f>
        <v>0</v>
      </c>
      <c r="F139" s="26">
        <v>410</v>
      </c>
    </row>
    <row r="140" spans="1:6" ht="13.5" x14ac:dyDescent="0.25">
      <c r="A140" s="33"/>
      <c r="B140" s="38"/>
      <c r="C140" s="30"/>
      <c r="D140" s="25"/>
      <c r="E140" s="27"/>
      <c r="F140" s="27"/>
    </row>
    <row r="141" spans="1:6" ht="13.5" x14ac:dyDescent="0.25">
      <c r="A141" s="33" t="s">
        <v>24</v>
      </c>
      <c r="B141" s="38">
        <v>2</v>
      </c>
      <c r="C141" s="30"/>
      <c r="D141" s="25"/>
      <c r="E141" s="26">
        <f>B141*F141</f>
        <v>540</v>
      </c>
      <c r="F141" s="26">
        <v>270</v>
      </c>
    </row>
    <row r="142" spans="1:6" ht="13.5" x14ac:dyDescent="0.25">
      <c r="A142" s="33" t="s">
        <v>29</v>
      </c>
      <c r="B142" s="38">
        <v>0</v>
      </c>
      <c r="C142" s="30"/>
      <c r="D142" s="25"/>
      <c r="E142" s="26">
        <f>B142*F142</f>
        <v>0</v>
      </c>
      <c r="F142" s="26">
        <v>86.17</v>
      </c>
    </row>
    <row r="143" spans="1:6" ht="13.5" x14ac:dyDescent="0.25">
      <c r="A143" s="33" t="s">
        <v>107</v>
      </c>
      <c r="B143" s="38">
        <v>0</v>
      </c>
      <c r="C143" s="30"/>
      <c r="D143" s="25"/>
      <c r="E143" s="26">
        <f>B143*F143</f>
        <v>0</v>
      </c>
      <c r="F143" s="26">
        <v>89</v>
      </c>
    </row>
    <row r="144" spans="1:6" ht="13.5" x14ac:dyDescent="0.25">
      <c r="A144" s="33" t="s">
        <v>113</v>
      </c>
      <c r="B144" s="38">
        <v>0</v>
      </c>
      <c r="C144" s="30"/>
      <c r="D144" s="25"/>
      <c r="E144" s="26">
        <f>B144*F144</f>
        <v>0</v>
      </c>
      <c r="F144" s="26">
        <v>95</v>
      </c>
    </row>
    <row r="145" spans="1:6" ht="13.5" x14ac:dyDescent="0.25">
      <c r="A145" s="33" t="s">
        <v>25</v>
      </c>
      <c r="B145" s="38">
        <v>0</v>
      </c>
      <c r="C145" s="30"/>
      <c r="D145" s="25"/>
      <c r="E145" s="26">
        <f>B145*F145</f>
        <v>0</v>
      </c>
      <c r="F145" s="26">
        <v>95</v>
      </c>
    </row>
    <row r="146" spans="1:6" ht="13.5" x14ac:dyDescent="0.25">
      <c r="A146" s="33"/>
      <c r="B146" s="38"/>
      <c r="C146" s="30"/>
      <c r="D146" s="25"/>
      <c r="E146" s="27"/>
      <c r="F146" s="27"/>
    </row>
    <row r="147" spans="1:6" ht="13.5" x14ac:dyDescent="0.25">
      <c r="A147" s="33" t="s">
        <v>192</v>
      </c>
      <c r="B147" s="38">
        <v>0</v>
      </c>
      <c r="C147" s="30"/>
      <c r="D147" s="25"/>
      <c r="E147" s="27"/>
      <c r="F147" s="27">
        <f>E147*B147</f>
        <v>0</v>
      </c>
    </row>
    <row r="148" spans="1:6" ht="13.5" x14ac:dyDescent="0.25">
      <c r="A148" s="33"/>
      <c r="B148" s="38"/>
      <c r="C148" s="30"/>
      <c r="D148" s="25"/>
      <c r="E148" s="27"/>
      <c r="F148" s="27"/>
    </row>
    <row r="149" spans="1:6" ht="13.5" x14ac:dyDescent="0.25">
      <c r="A149" s="33" t="s">
        <v>180</v>
      </c>
      <c r="B149" s="38">
        <v>1</v>
      </c>
      <c r="C149" s="30"/>
      <c r="D149" s="25"/>
      <c r="E149" s="26">
        <f>B149*F149</f>
        <v>500</v>
      </c>
      <c r="F149" s="26">
        <v>500</v>
      </c>
    </row>
    <row r="150" spans="1:6" ht="13.5" x14ac:dyDescent="0.25">
      <c r="A150" s="33"/>
      <c r="B150" s="38"/>
      <c r="C150" s="30"/>
      <c r="D150" s="25"/>
      <c r="E150" s="27"/>
      <c r="F150" s="27"/>
    </row>
    <row r="151" spans="1:6" ht="13.5" x14ac:dyDescent="0.25">
      <c r="A151" s="195" t="s">
        <v>114</v>
      </c>
      <c r="B151" s="38">
        <v>1</v>
      </c>
      <c r="C151" s="196"/>
      <c r="D151" s="46"/>
      <c r="E151" s="35">
        <f>B151*F151</f>
        <v>8000</v>
      </c>
      <c r="F151" s="35">
        <v>8000</v>
      </c>
    </row>
    <row r="152" spans="1:6" ht="13.5" x14ac:dyDescent="0.25">
      <c r="A152" s="33"/>
      <c r="B152" s="38"/>
      <c r="C152" s="30"/>
      <c r="D152" s="25"/>
      <c r="E152" s="26"/>
      <c r="F152" s="26"/>
    </row>
    <row r="153" spans="1:6" ht="13.5" x14ac:dyDescent="0.25">
      <c r="A153" s="33" t="s">
        <v>191</v>
      </c>
      <c r="B153" s="38">
        <v>0</v>
      </c>
      <c r="C153" s="30"/>
      <c r="D153" s="25"/>
      <c r="E153" s="26">
        <f>F153*B153</f>
        <v>0</v>
      </c>
      <c r="F153" s="26">
        <v>2500</v>
      </c>
    </row>
    <row r="154" spans="1:6" ht="13.5" x14ac:dyDescent="0.25">
      <c r="A154" s="33"/>
      <c r="B154" s="38"/>
      <c r="C154" s="30"/>
      <c r="D154" s="25"/>
      <c r="E154" s="26"/>
      <c r="F154" s="26"/>
    </row>
    <row r="155" spans="1:6" ht="13.5" x14ac:dyDescent="0.25">
      <c r="A155" s="33" t="s">
        <v>115</v>
      </c>
      <c r="B155" s="38">
        <v>1</v>
      </c>
      <c r="C155" s="30"/>
      <c r="D155" s="25"/>
      <c r="E155" s="26">
        <f>B155*F155</f>
        <v>300</v>
      </c>
      <c r="F155" s="26">
        <v>300</v>
      </c>
    </row>
    <row r="156" spans="1:6" ht="13.5" x14ac:dyDescent="0.25">
      <c r="A156" s="33"/>
      <c r="B156" s="38"/>
      <c r="C156" s="30"/>
      <c r="D156" s="25"/>
      <c r="E156" s="26"/>
      <c r="F156" s="26"/>
    </row>
    <row r="157" spans="1:6" ht="13.5" x14ac:dyDescent="0.25">
      <c r="A157" s="33" t="s">
        <v>181</v>
      </c>
      <c r="B157" s="38">
        <v>1</v>
      </c>
      <c r="C157" s="30"/>
      <c r="D157" s="25"/>
      <c r="E157" s="26">
        <f>B157*F157</f>
        <v>460</v>
      </c>
      <c r="F157" s="26">
        <v>460</v>
      </c>
    </row>
    <row r="158" spans="1:6" x14ac:dyDescent="0.2">
      <c r="E158" s="29">
        <f>SUM(E121:E157)</f>
        <v>10983.36</v>
      </c>
    </row>
    <row r="160" spans="1:6" x14ac:dyDescent="0.2">
      <c r="A160" s="137" t="s">
        <v>163</v>
      </c>
      <c r="B160" s="92">
        <v>1</v>
      </c>
      <c r="C160" s="93"/>
      <c r="D160" s="93"/>
      <c r="E160" s="94">
        <v>700</v>
      </c>
      <c r="F160" s="94">
        <v>700</v>
      </c>
    </row>
    <row r="161" spans="5:5" x14ac:dyDescent="0.2">
      <c r="E161" s="138">
        <f>SUM(E160:E160)</f>
        <v>700</v>
      </c>
    </row>
  </sheetData>
  <mergeCells count="1">
    <mergeCell ref="J7:K7"/>
  </mergeCells>
  <pageMargins left="0.51181102362204722" right="0.31496062992125984" top="0.78740157480314965" bottom="0.78740157480314965" header="0.31496062992125984" footer="0.31496062992125984"/>
  <pageSetup paperSize="9" scale="38" fitToHeight="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FED2-EC84-468C-8006-152DEC685090}">
  <sheetPr codeName="Planilha2">
    <pageSetUpPr fitToPage="1"/>
  </sheetPr>
  <dimension ref="A2:K30"/>
  <sheetViews>
    <sheetView workbookViewId="0">
      <selection activeCell="H2" sqref="H2"/>
    </sheetView>
  </sheetViews>
  <sheetFormatPr defaultRowHeight="15" x14ac:dyDescent="0.25"/>
  <cols>
    <col min="1" max="1" width="30.5703125" customWidth="1"/>
    <col min="3" max="3" width="18.5703125" customWidth="1"/>
    <col min="4" max="4" width="6.42578125" customWidth="1"/>
    <col min="8" max="8" width="26.85546875" customWidth="1"/>
    <col min="10" max="11" width="13.28515625" hidden="1" customWidth="1"/>
  </cols>
  <sheetData>
    <row r="2" spans="1:9" x14ac:dyDescent="0.25">
      <c r="A2" s="1" t="s">
        <v>3</v>
      </c>
      <c r="B2">
        <v>1</v>
      </c>
      <c r="H2" s="60">
        <v>46282</v>
      </c>
    </row>
    <row r="3" spans="1:9" x14ac:dyDescent="0.25">
      <c r="A3" s="2"/>
      <c r="F3" s="71"/>
      <c r="G3" s="71"/>
      <c r="H3" s="172" t="s">
        <v>190</v>
      </c>
    </row>
    <row r="4" spans="1:9" x14ac:dyDescent="0.25">
      <c r="H4" s="61" t="s">
        <v>196</v>
      </c>
    </row>
    <row r="5" spans="1:9" x14ac:dyDescent="0.25">
      <c r="H5" s="61" t="s">
        <v>189</v>
      </c>
    </row>
    <row r="6" spans="1:9" x14ac:dyDescent="0.25">
      <c r="A6" s="3" t="s">
        <v>4</v>
      </c>
    </row>
    <row r="7" spans="1:9" x14ac:dyDescent="0.25">
      <c r="A7" s="4">
        <f>Plan1!E114+Plan1!E119+Plan1!E158</f>
        <v>48681.296380510408</v>
      </c>
    </row>
    <row r="8" spans="1:9" x14ac:dyDescent="0.25">
      <c r="C8" s="2" t="s">
        <v>5</v>
      </c>
    </row>
    <row r="9" spans="1:9" x14ac:dyDescent="0.25">
      <c r="A9" s="3" t="s">
        <v>6</v>
      </c>
      <c r="C9" s="5">
        <v>2</v>
      </c>
      <c r="D9" s="6" t="s">
        <v>7</v>
      </c>
    </row>
    <row r="10" spans="1:9" x14ac:dyDescent="0.25">
      <c r="A10" s="4">
        <f>(A7*C9)/100</f>
        <v>973.62592761020812</v>
      </c>
      <c r="H10" s="72"/>
    </row>
    <row r="11" spans="1:9" ht="15.75" thickBot="1" x14ac:dyDescent="0.3">
      <c r="C11" s="2" t="s">
        <v>128</v>
      </c>
    </row>
    <row r="12" spans="1:9" ht="15.75" thickBot="1" x14ac:dyDescent="0.3">
      <c r="A12" s="3" t="s">
        <v>8</v>
      </c>
      <c r="C12" s="51">
        <v>0</v>
      </c>
      <c r="H12" s="56"/>
    </row>
    <row r="13" spans="1:9" x14ac:dyDescent="0.25">
      <c r="A13" s="4">
        <f>A7+A10</f>
        <v>49654.922308120615</v>
      </c>
      <c r="C13" s="72"/>
    </row>
    <row r="14" spans="1:9" x14ac:dyDescent="0.25">
      <c r="I14" s="42"/>
    </row>
    <row r="15" spans="1:9" x14ac:dyDescent="0.25">
      <c r="C15" s="2"/>
    </row>
    <row r="16" spans="1:9" x14ac:dyDescent="0.25">
      <c r="A16" s="3" t="s">
        <v>9</v>
      </c>
      <c r="C16" s="52">
        <v>47</v>
      </c>
      <c r="D16" s="40" t="s">
        <v>7</v>
      </c>
      <c r="H16" s="3" t="s">
        <v>129</v>
      </c>
    </row>
    <row r="17" spans="1:11" ht="23.25" x14ac:dyDescent="0.35">
      <c r="A17" s="7">
        <f>((A13*100)/(100+C9)*100)/C16</f>
        <v>103577.2263415115</v>
      </c>
      <c r="H17" s="7">
        <f>H25+(H26*15%)</f>
        <v>122190.40630052694</v>
      </c>
    </row>
    <row r="18" spans="1:11" ht="18.75" x14ac:dyDescent="0.3">
      <c r="C18" s="8" t="s">
        <v>124</v>
      </c>
      <c r="D18" s="9">
        <v>0.05</v>
      </c>
      <c r="H18" s="53"/>
      <c r="I18" s="39"/>
      <c r="J18" s="54">
        <f>1-D18</f>
        <v>0.95</v>
      </c>
    </row>
    <row r="19" spans="1:11" x14ac:dyDescent="0.25">
      <c r="H19" s="53"/>
      <c r="J19" s="55">
        <f>A17/J18</f>
        <v>109028.65930685421</v>
      </c>
      <c r="K19" s="56">
        <f>J19-J20</f>
        <v>103577.2263415115</v>
      </c>
    </row>
    <row r="20" spans="1:11" x14ac:dyDescent="0.25">
      <c r="A20" s="3" t="s">
        <v>10</v>
      </c>
      <c r="B20" s="41"/>
      <c r="C20" s="41"/>
      <c r="D20" s="41"/>
      <c r="E20" s="41"/>
      <c r="J20" s="56">
        <f>J19*D18</f>
        <v>5451.4329653427112</v>
      </c>
      <c r="K20" s="56"/>
    </row>
    <row r="21" spans="1:11" x14ac:dyDescent="0.25">
      <c r="A21" s="10">
        <f>A17-A13</f>
        <v>53922.304033390887</v>
      </c>
    </row>
    <row r="22" spans="1:11" x14ac:dyDescent="0.25">
      <c r="H22" s="43">
        <v>130</v>
      </c>
    </row>
    <row r="23" spans="1:11" x14ac:dyDescent="0.25">
      <c r="A23" s="3" t="s">
        <v>11</v>
      </c>
      <c r="B23" s="2"/>
      <c r="C23" s="11" t="s">
        <v>12</v>
      </c>
      <c r="D23" s="11"/>
      <c r="E23" s="11"/>
      <c r="F23" s="11" t="s">
        <v>13</v>
      </c>
      <c r="H23" s="64"/>
      <c r="I23" t="s">
        <v>130</v>
      </c>
    </row>
    <row r="24" spans="1:11" x14ac:dyDescent="0.25">
      <c r="A24" s="4">
        <f>C24*H22</f>
        <v>7800</v>
      </c>
      <c r="C24" s="12">
        <v>60</v>
      </c>
      <c r="F24" s="57">
        <v>0</v>
      </c>
      <c r="H24" s="56">
        <f>(A17/J18)+C12</f>
        <v>109028.65930685421</v>
      </c>
    </row>
    <row r="25" spans="1:11" x14ac:dyDescent="0.25">
      <c r="C25" s="11" t="s">
        <v>131</v>
      </c>
      <c r="F25" s="11" t="s">
        <v>14</v>
      </c>
      <c r="H25" s="58">
        <f>(H24*100)/(100-(F26*100))</f>
        <v>120473.65669265659</v>
      </c>
    </row>
    <row r="26" spans="1:11" x14ac:dyDescent="0.25">
      <c r="C26" s="14">
        <v>130</v>
      </c>
      <c r="F26" s="13">
        <v>9.5000000000000001E-2</v>
      </c>
      <c r="H26" s="58">
        <f>H25-H24</f>
        <v>11444.997385802373</v>
      </c>
    </row>
    <row r="28" spans="1:11" x14ac:dyDescent="0.25">
      <c r="A28" s="3" t="s">
        <v>15</v>
      </c>
      <c r="C28" s="3" t="s">
        <v>16</v>
      </c>
      <c r="D28" t="s">
        <v>17</v>
      </c>
    </row>
    <row r="29" spans="1:11" x14ac:dyDescent="0.25">
      <c r="A29" s="15">
        <f>A21-A24</f>
        <v>46122.304033390887</v>
      </c>
      <c r="C29" s="16">
        <f>A29-((A17*18)/100)-(H17*F24)</f>
        <v>27478.403291918818</v>
      </c>
      <c r="D29" t="s">
        <v>18</v>
      </c>
      <c r="H29" s="59" t="s">
        <v>125</v>
      </c>
    </row>
    <row r="30" spans="1:11" ht="18.75" x14ac:dyDescent="0.3">
      <c r="C30" s="17">
        <f>INT((C29*100)/A17)</f>
        <v>26</v>
      </c>
      <c r="D30" s="18" t="s">
        <v>7</v>
      </c>
      <c r="H30" s="15">
        <f>C29+(C12*(C30/100))</f>
        <v>27478.403291918818</v>
      </c>
    </row>
  </sheetData>
  <pageMargins left="0.511811024" right="0.511811024" top="0.78740157499999996" bottom="0.78740157499999996" header="0.31496062000000002" footer="0.31496062000000002"/>
  <pageSetup paperSize="9" scale="9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77E0-31DB-43CD-8608-9410697352F7}">
  <sheetPr codeName="Planilha3">
    <pageSetUpPr fitToPage="1"/>
  </sheetPr>
  <dimension ref="A1:M26"/>
  <sheetViews>
    <sheetView tabSelected="1" workbookViewId="0">
      <selection activeCell="E8" sqref="E8"/>
    </sheetView>
  </sheetViews>
  <sheetFormatPr defaultRowHeight="15" x14ac:dyDescent="0.25"/>
  <cols>
    <col min="1" max="1" width="26.140625" customWidth="1"/>
    <col min="2" max="2" width="14.28515625" bestFit="1" customWidth="1"/>
    <col min="3" max="3" width="15" bestFit="1" customWidth="1"/>
    <col min="4" max="4" width="14.28515625" bestFit="1" customWidth="1"/>
    <col min="9" max="9" width="14.28515625" bestFit="1" customWidth="1"/>
    <col min="10" max="10" width="10.5703125" bestFit="1" customWidth="1"/>
    <col min="11" max="11" width="11.5703125" bestFit="1" customWidth="1"/>
    <col min="12" max="12" width="12.140625" bestFit="1" customWidth="1"/>
    <col min="13" max="14" width="10.5703125" bestFit="1" customWidth="1"/>
  </cols>
  <sheetData>
    <row r="1" spans="1:12" x14ac:dyDescent="0.25">
      <c r="A1" s="192" t="s">
        <v>132</v>
      </c>
      <c r="B1" s="193"/>
      <c r="C1" s="193"/>
      <c r="D1" s="194"/>
    </row>
    <row r="2" spans="1:12" x14ac:dyDescent="0.25">
      <c r="A2" s="103" t="s">
        <v>133</v>
      </c>
      <c r="B2" s="104" t="s">
        <v>134</v>
      </c>
      <c r="C2" s="104" t="s">
        <v>135</v>
      </c>
      <c r="D2" s="105" t="s">
        <v>162</v>
      </c>
    </row>
    <row r="3" spans="1:12" x14ac:dyDescent="0.25">
      <c r="A3" s="106" t="s">
        <v>136</v>
      </c>
      <c r="B3" s="107">
        <v>21</v>
      </c>
      <c r="C3" s="107">
        <v>21</v>
      </c>
      <c r="D3" s="108">
        <v>21</v>
      </c>
    </row>
    <row r="4" spans="1:12" x14ac:dyDescent="0.25">
      <c r="A4" s="106" t="s">
        <v>187</v>
      </c>
      <c r="B4" s="107">
        <v>3</v>
      </c>
      <c r="C4" s="184">
        <v>6</v>
      </c>
      <c r="D4" s="110">
        <v>9</v>
      </c>
    </row>
    <row r="5" spans="1:12" x14ac:dyDescent="0.25">
      <c r="A5" s="106" t="s">
        <v>188</v>
      </c>
      <c r="B5" s="107">
        <v>3</v>
      </c>
      <c r="C5" s="184">
        <v>3</v>
      </c>
      <c r="D5" s="110">
        <v>3</v>
      </c>
    </row>
    <row r="6" spans="1:12" x14ac:dyDescent="0.25">
      <c r="A6" s="106" t="s">
        <v>137</v>
      </c>
      <c r="B6" s="107">
        <v>6</v>
      </c>
      <c r="C6" s="184">
        <v>6</v>
      </c>
      <c r="D6" s="110">
        <v>6</v>
      </c>
    </row>
    <row r="7" spans="1:12" x14ac:dyDescent="0.25">
      <c r="A7" s="106" t="s">
        <v>138</v>
      </c>
      <c r="B7" s="107">
        <v>15</v>
      </c>
      <c r="C7" s="184">
        <v>15</v>
      </c>
      <c r="D7" s="110">
        <v>15</v>
      </c>
    </row>
    <row r="8" spans="1:12" x14ac:dyDescent="0.25">
      <c r="A8" s="106" t="s">
        <v>139</v>
      </c>
      <c r="B8" s="109"/>
      <c r="C8" s="109"/>
      <c r="D8" s="110"/>
    </row>
    <row r="9" spans="1:12" x14ac:dyDescent="0.25">
      <c r="A9" s="111"/>
      <c r="B9" s="73">
        <f>SUM(B3:B8)</f>
        <v>48</v>
      </c>
      <c r="C9" s="73">
        <f>SUM(C3:C8)</f>
        <v>51</v>
      </c>
      <c r="D9" s="112">
        <f>SUM(D3:D8)</f>
        <v>54</v>
      </c>
    </row>
    <row r="10" spans="1:12" ht="15.75" thickBot="1" x14ac:dyDescent="0.3">
      <c r="A10" s="113" t="s">
        <v>140</v>
      </c>
      <c r="B10" s="74">
        <f>(100-B9)/100</f>
        <v>0.52</v>
      </c>
      <c r="C10" s="74">
        <f>(100-C9)/100</f>
        <v>0.49</v>
      </c>
      <c r="D10" s="114">
        <f>(100-D9)/100</f>
        <v>0.46</v>
      </c>
    </row>
    <row r="11" spans="1:12" ht="15.75" thickTop="1" x14ac:dyDescent="0.25">
      <c r="A11" s="115"/>
      <c r="B11" s="75"/>
      <c r="C11" s="75"/>
      <c r="D11" s="116"/>
    </row>
    <row r="12" spans="1:12" x14ac:dyDescent="0.25">
      <c r="A12" s="115" t="s">
        <v>141</v>
      </c>
      <c r="B12" s="83">
        <f>Plan2!A13+Plan1!E161+(Plan2!A13*C20)</f>
        <v>65251.399000556798</v>
      </c>
      <c r="C12" s="83">
        <f>B12</f>
        <v>65251.399000556798</v>
      </c>
      <c r="D12" s="117">
        <f>B12</f>
        <v>65251.399000556798</v>
      </c>
    </row>
    <row r="13" spans="1:12" x14ac:dyDescent="0.25">
      <c r="A13" s="115" t="s">
        <v>142</v>
      </c>
      <c r="B13" s="185">
        <f>(B12/B10)</f>
        <v>125483.45961645538</v>
      </c>
      <c r="C13" s="83">
        <f>(C12/C10)</f>
        <v>133166.12040929959</v>
      </c>
      <c r="D13" s="117">
        <f>(D12/D10)</f>
        <v>141850.86739251477</v>
      </c>
      <c r="L13" s="118"/>
    </row>
    <row r="14" spans="1:12" x14ac:dyDescent="0.25">
      <c r="A14" s="115" t="s">
        <v>143</v>
      </c>
      <c r="B14" s="183">
        <f>(B13/0.95)</f>
        <v>132087.85222784776</v>
      </c>
      <c r="C14" s="119">
        <f>(C13/0.95)</f>
        <v>140174.86358873642</v>
      </c>
      <c r="D14" s="120">
        <f>(D13/0.95)</f>
        <v>149316.70251843662</v>
      </c>
      <c r="L14" s="84"/>
    </row>
    <row r="15" spans="1:12" ht="15.75" thickBot="1" x14ac:dyDescent="0.3">
      <c r="A15" s="106"/>
      <c r="B15" s="121"/>
      <c r="C15" s="121"/>
      <c r="D15" s="122"/>
      <c r="L15" s="84"/>
    </row>
    <row r="16" spans="1:12" x14ac:dyDescent="0.25">
      <c r="A16" s="76" t="s">
        <v>144</v>
      </c>
      <c r="B16" s="77"/>
      <c r="C16" s="77"/>
      <c r="D16" s="78"/>
    </row>
    <row r="17" spans="1:13" ht="15.75" thickBot="1" x14ac:dyDescent="0.3">
      <c r="A17" s="79" t="s">
        <v>145</v>
      </c>
      <c r="B17" s="80"/>
      <c r="C17" s="80"/>
      <c r="D17" s="81"/>
    </row>
    <row r="19" spans="1:13" x14ac:dyDescent="0.25">
      <c r="B19" s="143" t="s">
        <v>166</v>
      </c>
      <c r="C19" s="143" t="s">
        <v>167</v>
      </c>
      <c r="D19" s="143" t="s">
        <v>168</v>
      </c>
    </row>
    <row r="20" spans="1:13" x14ac:dyDescent="0.25">
      <c r="B20" s="144">
        <f>Plan2!A13</f>
        <v>49654.922308120615</v>
      </c>
      <c r="C20" s="145">
        <v>0.3</v>
      </c>
      <c r="D20" s="146">
        <f>(C20*B20)/89</f>
        <v>167.37614261164251</v>
      </c>
    </row>
    <row r="21" spans="1:13" x14ac:dyDescent="0.25">
      <c r="D21" s="147">
        <f>B20*C20</f>
        <v>14896.476692436183</v>
      </c>
    </row>
    <row r="22" spans="1:13" x14ac:dyDescent="0.25">
      <c r="L22" s="84"/>
      <c r="M22" s="84"/>
    </row>
    <row r="23" spans="1:13" x14ac:dyDescent="0.25">
      <c r="B23" s="84"/>
    </row>
    <row r="26" spans="1:13" x14ac:dyDescent="0.25">
      <c r="L26" s="123"/>
      <c r="M26" s="84"/>
    </row>
  </sheetData>
  <mergeCells count="1">
    <mergeCell ref="A1:D1"/>
  </mergeCells>
  <pageMargins left="0.91681102400000003" right="0.511811024" top="0.78740157499999996" bottom="0.78740157499999996" header="0.31496062000000002" footer="0.31496062000000002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902cff-b9d5-4086-b262-1dfb21a23b54">
      <Terms xmlns="http://schemas.microsoft.com/office/infopath/2007/PartnerControls"/>
    </lcf76f155ced4ddcb4097134ff3c332f>
    <TaxCatchAll xmlns="4e58c937-36c3-4315-ae1e-c4b8083a22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5F52C6C026E94C968BFE31B8A0840F" ma:contentTypeVersion="16" ma:contentTypeDescription="Crie um novo documento." ma:contentTypeScope="" ma:versionID="bd3e7985b2950e5b0c5ae7fcd0331ea3">
  <xsd:schema xmlns:xsd="http://www.w3.org/2001/XMLSchema" xmlns:xs="http://www.w3.org/2001/XMLSchema" xmlns:p="http://schemas.microsoft.com/office/2006/metadata/properties" xmlns:ns2="73902cff-b9d5-4086-b262-1dfb21a23b54" xmlns:ns3="4e58c937-36c3-4315-ae1e-c4b8083a220c" targetNamespace="http://schemas.microsoft.com/office/2006/metadata/properties" ma:root="true" ma:fieldsID="7ab8db78471df86f0612e126af48bda8" ns2:_="" ns3:_="">
    <xsd:import namespace="73902cff-b9d5-4086-b262-1dfb21a23b54"/>
    <xsd:import namespace="4e58c937-36c3-4315-ae1e-c4b8083a2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02cff-b9d5-4086-b262-1dfb21a23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b66af59-d730-47c4-b246-bca41c8917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8c937-36c3-4315-ae1e-c4b8083a22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5a0948-5fef-4dd2-87c5-ef8a2d51bcd2}" ma:internalName="TaxCatchAll" ma:showField="CatchAllData" ma:web="4e58c937-36c3-4315-ae1e-c4b8083a2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6227A5-F2E6-40C8-BDBE-AE18D93183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740859-063D-4FDD-BD27-AE0B1FDA82A4}">
  <ds:schemaRefs>
    <ds:schemaRef ds:uri="http://www.w3.org/XML/1998/namespace"/>
    <ds:schemaRef ds:uri="73902cff-b9d5-4086-b262-1dfb21a23b54"/>
    <ds:schemaRef ds:uri="4e58c937-36c3-4315-ae1e-c4b8083a220c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51A6AA-9504-4F78-A2E5-C05F880DF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02cff-b9d5-4086-b262-1dfb21a23b54"/>
    <ds:schemaRef ds:uri="4e58c937-36c3-4315-ae1e-c4b8083a2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Robson Reway</cp:lastModifiedBy>
  <cp:lastPrinted>2026-09-17T15:26:54Z</cp:lastPrinted>
  <dcterms:created xsi:type="dcterms:W3CDTF">2009-10-28T18:05:10Z</dcterms:created>
  <dcterms:modified xsi:type="dcterms:W3CDTF">2026-09-17T15:26:58Z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0x0101007F5F52C6C026E94C968BFE31B8A0840F</vt:lpwstr>
  </property>
</Properties>
</file>